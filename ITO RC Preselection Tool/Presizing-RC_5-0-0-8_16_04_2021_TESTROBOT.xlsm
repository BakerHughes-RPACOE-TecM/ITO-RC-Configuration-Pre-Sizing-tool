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39.xml" ContentType="application/vnd.ms-excel.controlproperties+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koraara\OneDrive - Baker Hughes\Desktop\1.0.17\lib\net45\"/>
    </mc:Choice>
  </mc:AlternateContent>
  <xr:revisionPtr revIDLastSave="0" documentId="13_ncr:1_{2680190C-1EE8-4B4E-89BB-FA2E1DE282A4}" xr6:coauthVersionLast="47" xr6:coauthVersionMax="47" xr10:uidLastSave="{00000000-0000-0000-0000-000000000000}"/>
  <bookViews>
    <workbookView xWindow="-110" yWindow="-110" windowWidth="19420" windowHeight="10420" tabRatio="911" activeTab="1" xr2:uid="{00000000-000D-0000-FFFF-FFFF00000000}"/>
  </bookViews>
  <sheets>
    <sheet name="Missing Info" sheetId="39" r:id="rId1"/>
    <sheet name="TestingRPAInput" sheetId="40" r:id="rId2"/>
    <sheet name="Input" sheetId="13" r:id="rId3"/>
    <sheet name="Output" sheetId="21" r:id="rId4"/>
    <sheet name="Light RCS" sheetId="20" r:id="rId5"/>
    <sheet name="Errors-&amp;-Warnings" sheetId="25" r:id="rId6"/>
    <sheet name="Budget_DataSheet" sheetId="28" r:id="rId7"/>
    <sheet name="Export-to-RCS" sheetId="26" state="hidden" r:id="rId8"/>
    <sheet name="Help" sheetId="33" r:id="rId9"/>
    <sheet name="CylDiam_li" sheetId="38" state="hidden" r:id="rId10"/>
    <sheet name="NOISE_AUTO" sheetId="34" state="veryHidden" r:id="rId11"/>
    <sheet name="NOISE_LI" sheetId="37" state="veryHidden" r:id="rId12"/>
    <sheet name="DTR02.01.03" sheetId="35" state="veryHidden" r:id="rId13"/>
    <sheet name="FIGURE-C" sheetId="36" state="veryHidden" r:id="rId14"/>
    <sheet name="Calc" sheetId="17" state="hidden" r:id="rId15"/>
    <sheet name="Dia" sheetId="22" state="veryHidden" r:id="rId16"/>
    <sheet name="clear" sheetId="23" state="veryHidden" r:id="rId17"/>
    <sheet name="MAWP" sheetId="29" state="veryHidden" r:id="rId18"/>
  </sheets>
  <functionGroups builtInGroupCount="19"/>
  <definedNames>
    <definedName name="_Kv2" localSheetId="8">#REF!</definedName>
    <definedName name="_Kv2" localSheetId="11">#REF!</definedName>
    <definedName name="_Kv2">#REF!</definedName>
    <definedName name="_MW2" localSheetId="8">#REF!</definedName>
    <definedName name="_MW2" localSheetId="11">#REF!</definedName>
    <definedName name="_MW2">#REF!</definedName>
    <definedName name="_tab" localSheetId="13">'DTR02.01.03'!#REF!</definedName>
    <definedName name="_tab" localSheetId="11">'DTR02.01.03'!#REF!</definedName>
    <definedName name="_tab">'DTR02.01.03'!#REF!</definedName>
    <definedName name="BoreLim" localSheetId="8">#REF!</definedName>
    <definedName name="BoreLim">Input!$F$41</definedName>
    <definedName name="BoreLimit" localSheetId="8">#REF!</definedName>
    <definedName name="BoreLimit">Input!$F$41</definedName>
    <definedName name="Capacity_Rated" localSheetId="8">#REF!</definedName>
    <definedName name="Capacity_Rated" localSheetId="11">Input!#REF!</definedName>
    <definedName name="Capacity_Rated">Input!#REF!</definedName>
    <definedName name="Capacity_Rated2" localSheetId="8">#REF!</definedName>
    <definedName name="Capacity_Rated2" localSheetId="11">#REF!</definedName>
    <definedName name="Capacity_Rated2">#REF!</definedName>
    <definedName name="Capacity_Required" localSheetId="8">#REF!</definedName>
    <definedName name="Capacity_Required" localSheetId="11">Input!#REF!</definedName>
    <definedName name="Capacity_Required">Input!#REF!</definedName>
    <definedName name="Capacity_Required2" localSheetId="8">#REF!</definedName>
    <definedName name="Capacity_Required2" localSheetId="11">#REF!</definedName>
    <definedName name="Capacity_Required2">#REF!</definedName>
    <definedName name="Compressor_Speed" localSheetId="8">#REF!</definedName>
    <definedName name="Compressor_Speed">Input!$E$37</definedName>
    <definedName name="CompressorType" localSheetId="8">#REF!</definedName>
    <definedName name="CompressorType">Input!$B$152</definedName>
    <definedName name="CylDiam1_1">Input!$B$156</definedName>
    <definedName name="CylDiam1_2">Input!$C$156</definedName>
    <definedName name="CylDiam1_3">Input!$D$156</definedName>
    <definedName name="CylDiam1_4">Input!$E$156</definedName>
    <definedName name="CylDiam1_5">Input!$F$156</definedName>
    <definedName name="CylDiam1_6">Input!$G$156</definedName>
    <definedName name="CylDiam1_7">Input!$H$156</definedName>
    <definedName name="CylDiam1_8">Input!$I$156</definedName>
    <definedName name="CylDiam2_1">Input!$B$162</definedName>
    <definedName name="CylDiam2_2">Input!$C$162</definedName>
    <definedName name="CylDiam2_3">Input!$D$162</definedName>
    <definedName name="CylDiam2_4">Input!$E$162</definedName>
    <definedName name="CylDiam2_5">Input!$F$162</definedName>
    <definedName name="CylDiam2_6">Input!$G$162</definedName>
    <definedName name="CylDiam2_7">Input!$H$162</definedName>
    <definedName name="CylDiam2_8">Input!$I$162</definedName>
    <definedName name="CylDiam3_1">Input!$B$168</definedName>
    <definedName name="CylDiam3_2">Input!$C$168</definedName>
    <definedName name="CylDiam3_3">Input!$D$168</definedName>
    <definedName name="CylDiam3_4">Input!$E$168</definedName>
    <definedName name="CylDiam3_5">Input!$F$168</definedName>
    <definedName name="CylDiam3_6">Input!$G$168</definedName>
    <definedName name="CylDiam3_7">Input!$H$168</definedName>
    <definedName name="CylDiam3_8">Input!$I$168</definedName>
    <definedName name="DiscP" localSheetId="8">#REF!</definedName>
    <definedName name="DiscP" localSheetId="11">Input!#REF!</definedName>
    <definedName name="DiscP">Input!#REF!</definedName>
    <definedName name="DiscP2" localSheetId="8">#REF!</definedName>
    <definedName name="DiscP2" localSheetId="11">#REF!</definedName>
    <definedName name="DiscP2">#REF!</definedName>
    <definedName name="Driver" localSheetId="8">#REF!</definedName>
    <definedName name="Driver">Input!$H$152</definedName>
    <definedName name="figA" localSheetId="11">#REF!</definedName>
    <definedName name="figA">#REF!</definedName>
    <definedName name="figB" localSheetId="11">#REF!</definedName>
    <definedName name="figB">#REF!</definedName>
    <definedName name="figC">'FIGURE-C'!$B$4:$F$11</definedName>
    <definedName name="figD" localSheetId="11">#REF!</definedName>
    <definedName name="figD">#REF!</definedName>
    <definedName name="Frequency" localSheetId="8">#REF!</definedName>
    <definedName name="Frequency" localSheetId="11">Input!#REF!</definedName>
    <definedName name="Frequency">Input!#REF!</definedName>
    <definedName name="GAS" localSheetId="8">#REF!</definedName>
    <definedName name="GAS">Input!$B$76</definedName>
    <definedName name="Given_Capacity" localSheetId="8">#REF!</definedName>
    <definedName name="Given_Capacity" localSheetId="11">Input!#REF!</definedName>
    <definedName name="Given_Capacity">Input!#REF!</definedName>
    <definedName name="Given_Capacity2" localSheetId="8">#REF!</definedName>
    <definedName name="Given_Capacity2" localSheetId="11">#REF!</definedName>
    <definedName name="Given_Capacity2">#REF!</definedName>
    <definedName name="incast" localSheetId="13">'DTR02.01.03'!$K$8:$K$20</definedName>
    <definedName name="incast">'DTR02.01.03'!$K$9:$K$21</definedName>
    <definedName name="Kv" localSheetId="8">#REF!</definedName>
    <definedName name="Kv">Input!$E$34</definedName>
    <definedName name="Lube1" localSheetId="8">#REF!</definedName>
    <definedName name="Lube1">Input!$E$36</definedName>
    <definedName name="Lube2" localSheetId="8">#REF!</definedName>
    <definedName name="Lube2">Input!$F$36</definedName>
    <definedName name="Lube3" localSheetId="8">#REF!</definedName>
    <definedName name="Lube3">Input!$G$36</definedName>
    <definedName name="MotorType" localSheetId="8">#REF!</definedName>
    <definedName name="MotorType">Input!$B$39</definedName>
    <definedName name="MW" localSheetId="8">#REF!</definedName>
    <definedName name="MW">Input!$E$32</definedName>
    <definedName name="NNT" localSheetId="8">#REF!</definedName>
    <definedName name="NNT">Input!$H$18</definedName>
    <definedName name="No_Compressori" localSheetId="8">#REF!</definedName>
    <definedName name="No_Compressori" localSheetId="11">Input!#REF!</definedName>
    <definedName name="No_Compressori">Input!#REF!</definedName>
    <definedName name="No_Poles" localSheetId="8">#REF!</definedName>
    <definedName name="No_Poles">Input!$J$51</definedName>
    <definedName name="No_Stage2" localSheetId="8">#REF!</definedName>
    <definedName name="No_Stage2" localSheetId="11">#REF!</definedName>
    <definedName name="No_Stage2">#REF!</definedName>
    <definedName name="No_stages1" localSheetId="8">#REF!</definedName>
    <definedName name="No_stages1" localSheetId="11">Input!#REF!</definedName>
    <definedName name="No_stages1">Input!#REF!</definedName>
    <definedName name="No_stages2" localSheetId="8">#REF!</definedName>
    <definedName name="No_stages2" localSheetId="11">#REF!</definedName>
    <definedName name="No_stages2">#REF!</definedName>
    <definedName name="NumberOfPoles" localSheetId="8">#REF!</definedName>
    <definedName name="NumberOfPoles">Input!$J$152</definedName>
    <definedName name="NumberOfServices" localSheetId="8">#REF!</definedName>
    <definedName name="NumberOfServices">Input!$B$12</definedName>
    <definedName name="OutCompressorType" localSheetId="8">#REF!</definedName>
    <definedName name="OutCompressorType">Input!$J$28</definedName>
    <definedName name="OutCylindersNumber" localSheetId="8">#REF!</definedName>
    <definedName name="OutCylindersNumber">Input!$J$28</definedName>
    <definedName name="OutFrameSize" localSheetId="8">#REF!</definedName>
    <definedName name="OutFrameSize" localSheetId="11">Input!#REF!</definedName>
    <definedName name="OutFrameSize">Input!#REF!</definedName>
    <definedName name="OutNumberOfCranks" localSheetId="8">#REF!</definedName>
    <definedName name="OutNumberOfCranks">Output!$B$11</definedName>
    <definedName name="OutNumberOfServices" localSheetId="8">#REF!</definedName>
    <definedName name="OutNumberOfServices">Input!$I$40</definedName>
    <definedName name="Pist._speed" localSheetId="8">#REF!</definedName>
    <definedName name="Pist._speed" localSheetId="11">Input!#REF!</definedName>
    <definedName name="Pist._speed">Input!#REF!</definedName>
    <definedName name="PistonSpeedLimit" localSheetId="8">#REF!</definedName>
    <definedName name="PistonSpeedLimit">Input!$F$40</definedName>
    <definedName name="_xlnm.Print_Area" localSheetId="6">Budget_DataSheet!$A:$U</definedName>
    <definedName name="_xlnm.Print_Area" localSheetId="2">Input!$A$1:$O$164</definedName>
    <definedName name="_xlnm.Print_Area" localSheetId="4">'Light RCS'!$A$2:$M$62</definedName>
    <definedName name="_xlnm.Print_Area" localSheetId="10">NOISE_AUTO!$K$1:$T$45</definedName>
    <definedName name="_xlnm.Print_Area" localSheetId="11">NOISE_LI!$K$1:$T$45</definedName>
    <definedName name="_xlnm.Print_Area" localSheetId="3">Output!$A$2:$M$62</definedName>
    <definedName name="Rod_diameter" localSheetId="8">#REF!</definedName>
    <definedName name="Rod_diameter" localSheetId="11">Input!#REF!</definedName>
    <definedName name="Rod_diameter">Input!#REF!</definedName>
    <definedName name="RPM" localSheetId="8">#REF!</definedName>
    <definedName name="RPM">Input!$M$51</definedName>
    <definedName name="RpmLimit" localSheetId="8">#REF!</definedName>
    <definedName name="RpmLimit">Input!$F$39</definedName>
    <definedName name="serie" localSheetId="13">'DTR02.01.03'!$K$1:$K$4</definedName>
    <definedName name="serie">'DTR02.01.03'!$K$1:$K$4</definedName>
    <definedName name="serie_N">'DTR02.01.03'!$B$23:$B$47</definedName>
    <definedName name="serie_N_tab">'DTR02.01.03'!$B$23:$H$47</definedName>
    <definedName name="serie_NF">'DTR02.01.03'!$B$34:$B$51</definedName>
    <definedName name="serie_NF_tab">'DTR02.01.03'!$B$34:$H$51</definedName>
    <definedName name="serie_NU">'DTR02.01.03'!$B$6:$B$17</definedName>
    <definedName name="serie_NU_tab">'DTR02.01.03'!$B$6:$H$17</definedName>
    <definedName name="serie_T">'DTR02.01.03'!$B$57:$B$66</definedName>
    <definedName name="serie_T_tab">'DTR02.01.03'!$B$57:$H$66</definedName>
    <definedName name="Stroke" localSheetId="8">#REF!</definedName>
    <definedName name="Stroke">Input!$E$152</definedName>
    <definedName name="SuctP" localSheetId="8">#REF!</definedName>
    <definedName name="SuctP">Input!$E$164</definedName>
    <definedName name="SuctP2" localSheetId="8">#REF!</definedName>
    <definedName name="SuctP2" localSheetId="11">#REF!</definedName>
    <definedName name="SuctP2">#REF!</definedName>
    <definedName name="SuctT" localSheetId="8">#REF!</definedName>
    <definedName name="SuctT" localSheetId="11">Input!#REF!</definedName>
    <definedName name="SuctT">Input!#REF!</definedName>
    <definedName name="SuctT2" localSheetId="8">#REF!</definedName>
    <definedName name="SuctT2" localSheetId="11">#REF!</definedName>
    <definedName name="SuctT2">#REF!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H5" i="38" l="1"/>
  <c r="CH6" i="38"/>
  <c r="CH7" i="38"/>
  <c r="CH8" i="38"/>
  <c r="CH9" i="38"/>
  <c r="CH10" i="38"/>
  <c r="CH11" i="38"/>
  <c r="CH12" i="38"/>
  <c r="CH13" i="38"/>
  <c r="CH14" i="38"/>
  <c r="CH15" i="38"/>
  <c r="CH16" i="38"/>
  <c r="CH17" i="38"/>
  <c r="CH18" i="38"/>
  <c r="CH19" i="38"/>
  <c r="CH20" i="38"/>
  <c r="CH21" i="38"/>
  <c r="CH22" i="38"/>
  <c r="CH23" i="38"/>
  <c r="CH24" i="38"/>
  <c r="CH25" i="38"/>
  <c r="CH26" i="38"/>
  <c r="CH27" i="38"/>
  <c r="CH28" i="38"/>
  <c r="CH29" i="38"/>
  <c r="CH30" i="38"/>
  <c r="CH31" i="38"/>
  <c r="CH32" i="38"/>
  <c r="CH33" i="38"/>
  <c r="CH34" i="38"/>
  <c r="CH35" i="38"/>
  <c r="CH36" i="38"/>
  <c r="CH37" i="38"/>
  <c r="CH38" i="38"/>
  <c r="CH39" i="38"/>
  <c r="CH40" i="38"/>
  <c r="CH41" i="38"/>
  <c r="CH42" i="38"/>
  <c r="CH43" i="38"/>
  <c r="CH44" i="38"/>
  <c r="CH45" i="38"/>
  <c r="CH46" i="38"/>
  <c r="CH47" i="38"/>
  <c r="CH48" i="38"/>
  <c r="CH49" i="38"/>
  <c r="CH50" i="38"/>
  <c r="CH51" i="38"/>
  <c r="CH52" i="38"/>
  <c r="CH53" i="38"/>
  <c r="CH54" i="38"/>
  <c r="CH55" i="38"/>
  <c r="CH56" i="38"/>
  <c r="CH57" i="38"/>
  <c r="CH58" i="38"/>
  <c r="CH59" i="38"/>
  <c r="CH60" i="38"/>
  <c r="CH61" i="38"/>
  <c r="CH62" i="38"/>
  <c r="CH63" i="38"/>
  <c r="CH64" i="38"/>
  <c r="CH65" i="38"/>
  <c r="CH66" i="38"/>
  <c r="CH67" i="38"/>
  <c r="CH68" i="38"/>
  <c r="CH69" i="38"/>
  <c r="CH70" i="38"/>
  <c r="CH71" i="38"/>
  <c r="CH72" i="38"/>
  <c r="CH73" i="38"/>
  <c r="CH4" i="38"/>
  <c r="CE5" i="38"/>
  <c r="CE6" i="38"/>
  <c r="CE7" i="38"/>
  <c r="CE8" i="38"/>
  <c r="CE9" i="38"/>
  <c r="CE10" i="38"/>
  <c r="CE11" i="38"/>
  <c r="CE12" i="38"/>
  <c r="CE13" i="38"/>
  <c r="CE14" i="38"/>
  <c r="CE15" i="38"/>
  <c r="CE16" i="38"/>
  <c r="CE17" i="38"/>
  <c r="CE18" i="38"/>
  <c r="CE19" i="38"/>
  <c r="CE20" i="38"/>
  <c r="CE21" i="38"/>
  <c r="CE22" i="38"/>
  <c r="CE23" i="38"/>
  <c r="CE24" i="38"/>
  <c r="CE25" i="38"/>
  <c r="CE26" i="38"/>
  <c r="CE27" i="38"/>
  <c r="CE28" i="38"/>
  <c r="CE29" i="38"/>
  <c r="CE30" i="38"/>
  <c r="CE31" i="38"/>
  <c r="CE32" i="38"/>
  <c r="CE33" i="38"/>
  <c r="CE34" i="38"/>
  <c r="CE35" i="38"/>
  <c r="CE36" i="38"/>
  <c r="CE37" i="38"/>
  <c r="CE38" i="38"/>
  <c r="CE39" i="38"/>
  <c r="CE40" i="38"/>
  <c r="CE41" i="38"/>
  <c r="CE42" i="38"/>
  <c r="CE43" i="38"/>
  <c r="CE44" i="38"/>
  <c r="CE45" i="38"/>
  <c r="CE46" i="38"/>
  <c r="CE47" i="38"/>
  <c r="CE48" i="38"/>
  <c r="CE49" i="38"/>
  <c r="CE50" i="38"/>
  <c r="CE51" i="38"/>
  <c r="CE52" i="38"/>
  <c r="CE53" i="38"/>
  <c r="CE54" i="38"/>
  <c r="CE55" i="38"/>
  <c r="CE56" i="38"/>
  <c r="CE57" i="38"/>
  <c r="CE58" i="38"/>
  <c r="CE59" i="38"/>
  <c r="CE60" i="38"/>
  <c r="CE61" i="38"/>
  <c r="CE62" i="38"/>
  <c r="CE63" i="38"/>
  <c r="CE64" i="38"/>
  <c r="CE65" i="38"/>
  <c r="CE66" i="38"/>
  <c r="CE67" i="38"/>
  <c r="CE68" i="38"/>
  <c r="CE69" i="38"/>
  <c r="CE70" i="38"/>
  <c r="CE71" i="38"/>
  <c r="CE72" i="38"/>
  <c r="CE73" i="38"/>
  <c r="CE4" i="38"/>
  <c r="CB5" i="38"/>
  <c r="CB6" i="38"/>
  <c r="CB7" i="38"/>
  <c r="CB8" i="38"/>
  <c r="CB9" i="38"/>
  <c r="CB10" i="38"/>
  <c r="CB11" i="38"/>
  <c r="CB12" i="38"/>
  <c r="CB13" i="38"/>
  <c r="CB14" i="38"/>
  <c r="CB15" i="38"/>
  <c r="CB16" i="38"/>
  <c r="CB17" i="38"/>
  <c r="CB18" i="38"/>
  <c r="CB19" i="38"/>
  <c r="CB20" i="38"/>
  <c r="CB21" i="38"/>
  <c r="CB22" i="38"/>
  <c r="CB23" i="38"/>
  <c r="CB24" i="38"/>
  <c r="CB25" i="38"/>
  <c r="CB26" i="38"/>
  <c r="CB27" i="38"/>
  <c r="CB28" i="38"/>
  <c r="CB29" i="38"/>
  <c r="CB30" i="38"/>
  <c r="CB31" i="38"/>
  <c r="CB32" i="38"/>
  <c r="CB33" i="38"/>
  <c r="CB34" i="38"/>
  <c r="CB35" i="38"/>
  <c r="CB36" i="38"/>
  <c r="CB37" i="38"/>
  <c r="CB38" i="38"/>
  <c r="CB39" i="38"/>
  <c r="CB40" i="38"/>
  <c r="CB41" i="38"/>
  <c r="CB42" i="38"/>
  <c r="CB43" i="38"/>
  <c r="CB44" i="38"/>
  <c r="CB45" i="38"/>
  <c r="CB46" i="38"/>
  <c r="CB47" i="38"/>
  <c r="CB48" i="38"/>
  <c r="CB49" i="38"/>
  <c r="CB50" i="38"/>
  <c r="CB51" i="38"/>
  <c r="CB52" i="38"/>
  <c r="CB53" i="38"/>
  <c r="CB54" i="38"/>
  <c r="CB55" i="38"/>
  <c r="CB56" i="38"/>
  <c r="CB57" i="38"/>
  <c r="CB58" i="38"/>
  <c r="CB59" i="38"/>
  <c r="CB60" i="38"/>
  <c r="CB61" i="38"/>
  <c r="CB62" i="38"/>
  <c r="CB63" i="38"/>
  <c r="CB64" i="38"/>
  <c r="CB65" i="38"/>
  <c r="CB66" i="38"/>
  <c r="CB67" i="38"/>
  <c r="CB68" i="38"/>
  <c r="CB69" i="38"/>
  <c r="CB70" i="38"/>
  <c r="CB71" i="38"/>
  <c r="CB72" i="38"/>
  <c r="CB73" i="38"/>
  <c r="CB74" i="38"/>
  <c r="CB75" i="38"/>
  <c r="CB76" i="38"/>
  <c r="CB77" i="38"/>
  <c r="CB78" i="38"/>
  <c r="CB79" i="38"/>
  <c r="CB80" i="38"/>
  <c r="CB81" i="38"/>
  <c r="CB82" i="38"/>
  <c r="CB83" i="38"/>
  <c r="CB84" i="38"/>
  <c r="CB85" i="38"/>
  <c r="CB86" i="38"/>
  <c r="CB87" i="38"/>
  <c r="CB4" i="38"/>
  <c r="BY5" i="38"/>
  <c r="BY6" i="38"/>
  <c r="BY7" i="38"/>
  <c r="BY8" i="38"/>
  <c r="BY9" i="38"/>
  <c r="BY10" i="38"/>
  <c r="BY11" i="38"/>
  <c r="BY12" i="38"/>
  <c r="BY13" i="38"/>
  <c r="BY14" i="38"/>
  <c r="BY15" i="38"/>
  <c r="BY16" i="38"/>
  <c r="BY17" i="38"/>
  <c r="BY18" i="38"/>
  <c r="BY19" i="38"/>
  <c r="BY20" i="38"/>
  <c r="BY21" i="38"/>
  <c r="BY22" i="38"/>
  <c r="BY23" i="38"/>
  <c r="BY24" i="38"/>
  <c r="BY25" i="38"/>
  <c r="BY26" i="38"/>
  <c r="BY27" i="38"/>
  <c r="BY28" i="38"/>
  <c r="BY29" i="38"/>
  <c r="BY30" i="38"/>
  <c r="BY31" i="38"/>
  <c r="BY32" i="38"/>
  <c r="BY33" i="38"/>
  <c r="BY34" i="38"/>
  <c r="BY35" i="38"/>
  <c r="BY36" i="38"/>
  <c r="BY37" i="38"/>
  <c r="BY38" i="38"/>
  <c r="BY39" i="38"/>
  <c r="BY40" i="38"/>
  <c r="BY41" i="38"/>
  <c r="BY42" i="38"/>
  <c r="BY43" i="38"/>
  <c r="BY44" i="38"/>
  <c r="BY45" i="38"/>
  <c r="BY46" i="38"/>
  <c r="BY47" i="38"/>
  <c r="BY48" i="38"/>
  <c r="BY49" i="38"/>
  <c r="BY50" i="38"/>
  <c r="BY51" i="38"/>
  <c r="BY52" i="38"/>
  <c r="BY53" i="38"/>
  <c r="BY54" i="38"/>
  <c r="BY55" i="38"/>
  <c r="BY56" i="38"/>
  <c r="BY57" i="38"/>
  <c r="BY58" i="38"/>
  <c r="BY59" i="38"/>
  <c r="BY60" i="38"/>
  <c r="BY61" i="38"/>
  <c r="BY62" i="38"/>
  <c r="BY63" i="38"/>
  <c r="BY64" i="38"/>
  <c r="BY65" i="38"/>
  <c r="BY66" i="38"/>
  <c r="BY67" i="38"/>
  <c r="BY68" i="38"/>
  <c r="BY69" i="38"/>
  <c r="BY70" i="38"/>
  <c r="BY71" i="38"/>
  <c r="BY72" i="38"/>
  <c r="BY73" i="38"/>
  <c r="BY74" i="38"/>
  <c r="BY75" i="38"/>
  <c r="BY76" i="38"/>
  <c r="BY77" i="38"/>
  <c r="BY78" i="38"/>
  <c r="BY79" i="38"/>
  <c r="BY80" i="38"/>
  <c r="BY81" i="38"/>
  <c r="BY82" i="38"/>
  <c r="BY83" i="38"/>
  <c r="BY84" i="38"/>
  <c r="BY85" i="38"/>
  <c r="BY86" i="38"/>
  <c r="BY87" i="38"/>
  <c r="BY4" i="38"/>
  <c r="BV5" i="38"/>
  <c r="BV6" i="38"/>
  <c r="BV7" i="38"/>
  <c r="BV8" i="38"/>
  <c r="BV9" i="38"/>
  <c r="BV10" i="38"/>
  <c r="BV11" i="38"/>
  <c r="BV12" i="38"/>
  <c r="BV13" i="38"/>
  <c r="BV14" i="38"/>
  <c r="BV15" i="38"/>
  <c r="BV16" i="38"/>
  <c r="BV17" i="38"/>
  <c r="BV18" i="38"/>
  <c r="BV19" i="38"/>
  <c r="BV20" i="38"/>
  <c r="BV21" i="38"/>
  <c r="BV22" i="38"/>
  <c r="BV23" i="38"/>
  <c r="BV24" i="38"/>
  <c r="BV25" i="38"/>
  <c r="BV26" i="38"/>
  <c r="BV27" i="38"/>
  <c r="BV28" i="38"/>
  <c r="BV29" i="38"/>
  <c r="BV30" i="38"/>
  <c r="BV31" i="38"/>
  <c r="BV32" i="38"/>
  <c r="BV33" i="38"/>
  <c r="BV34" i="38"/>
  <c r="BV35" i="38"/>
  <c r="BV36" i="38"/>
  <c r="BV37" i="38"/>
  <c r="BV38" i="38"/>
  <c r="BV39" i="38"/>
  <c r="BV40" i="38"/>
  <c r="BV41" i="38"/>
  <c r="BV42" i="38"/>
  <c r="BV43" i="38"/>
  <c r="BV44" i="38"/>
  <c r="BV45" i="38"/>
  <c r="BV46" i="38"/>
  <c r="BV47" i="38"/>
  <c r="BV48" i="38"/>
  <c r="BV49" i="38"/>
  <c r="BV50" i="38"/>
  <c r="BV51" i="38"/>
  <c r="BV52" i="38"/>
  <c r="BV53" i="38"/>
  <c r="BV54" i="38"/>
  <c r="BV55" i="38"/>
  <c r="BV56" i="38"/>
  <c r="BV57" i="38"/>
  <c r="BV58" i="38"/>
  <c r="BV59" i="38"/>
  <c r="BV60" i="38"/>
  <c r="BV61" i="38"/>
  <c r="BV62" i="38"/>
  <c r="BV63" i="38"/>
  <c r="BV64" i="38"/>
  <c r="BV4" i="38"/>
  <c r="BS5" i="38"/>
  <c r="BS6" i="38"/>
  <c r="BS7" i="38"/>
  <c r="BS8" i="38"/>
  <c r="BS9" i="38"/>
  <c r="BS10" i="38"/>
  <c r="BS11" i="38"/>
  <c r="BS12" i="38"/>
  <c r="BS13" i="38"/>
  <c r="BS14" i="38"/>
  <c r="BS15" i="38"/>
  <c r="BS16" i="38"/>
  <c r="BS17" i="38"/>
  <c r="BS18" i="38"/>
  <c r="BS19" i="38"/>
  <c r="BS20" i="38"/>
  <c r="BS21" i="38"/>
  <c r="BS22" i="38"/>
  <c r="BS23" i="38"/>
  <c r="BS24" i="38"/>
  <c r="BS25" i="38"/>
  <c r="BS26" i="38"/>
  <c r="BS27" i="38"/>
  <c r="BS28" i="38"/>
  <c r="BS29" i="38"/>
  <c r="BS30" i="38"/>
  <c r="BS31" i="38"/>
  <c r="BS32" i="38"/>
  <c r="BS33" i="38"/>
  <c r="BS34" i="38"/>
  <c r="BS35" i="38"/>
  <c r="BS36" i="38"/>
  <c r="BS37" i="38"/>
  <c r="BS38" i="38"/>
  <c r="BS39" i="38"/>
  <c r="BS40" i="38"/>
  <c r="BS41" i="38"/>
  <c r="BS42" i="38"/>
  <c r="BS43" i="38"/>
  <c r="BS44" i="38"/>
  <c r="BS45" i="38"/>
  <c r="BS46" i="38"/>
  <c r="BS47" i="38"/>
  <c r="BS48" i="38"/>
  <c r="BS49" i="38"/>
  <c r="BS50" i="38"/>
  <c r="BS51" i="38"/>
  <c r="BS52" i="38"/>
  <c r="BS53" i="38"/>
  <c r="BS54" i="38"/>
  <c r="BS55" i="38"/>
  <c r="BS56" i="38"/>
  <c r="BS57" i="38"/>
  <c r="BS58" i="38"/>
  <c r="BS59" i="38"/>
  <c r="BS60" i="38"/>
  <c r="BS61" i="38"/>
  <c r="BS62" i="38"/>
  <c r="BS63" i="38"/>
  <c r="BS64" i="38"/>
  <c r="BS4" i="38"/>
  <c r="BP5" i="38"/>
  <c r="BP6" i="38"/>
  <c r="BP7" i="38"/>
  <c r="BP8" i="38"/>
  <c r="BP9" i="38"/>
  <c r="BP10" i="38"/>
  <c r="BP11" i="38"/>
  <c r="BP12" i="38"/>
  <c r="BP13" i="38"/>
  <c r="BP14" i="38"/>
  <c r="BP15" i="38"/>
  <c r="BP16" i="38"/>
  <c r="BP17" i="38"/>
  <c r="BP18" i="38"/>
  <c r="BP19" i="38"/>
  <c r="BP20" i="38"/>
  <c r="BP21" i="38"/>
  <c r="BP22" i="38"/>
  <c r="BP23" i="38"/>
  <c r="BP24" i="38"/>
  <c r="BP25" i="38"/>
  <c r="BP26" i="38"/>
  <c r="BP27" i="38"/>
  <c r="BP28" i="38"/>
  <c r="BP29" i="38"/>
  <c r="BP30" i="38"/>
  <c r="BP31" i="38"/>
  <c r="BP32" i="38"/>
  <c r="BP33" i="38"/>
  <c r="BP34" i="38"/>
  <c r="BP35" i="38"/>
  <c r="BP36" i="38"/>
  <c r="BP37" i="38"/>
  <c r="BP38" i="38"/>
  <c r="BP39" i="38"/>
  <c r="BP40" i="38"/>
  <c r="BP41" i="38"/>
  <c r="BP42" i="38"/>
  <c r="BP43" i="38"/>
  <c r="BP44" i="38"/>
  <c r="BP45" i="38"/>
  <c r="BP46" i="38"/>
  <c r="BP47" i="38"/>
  <c r="BP48" i="38"/>
  <c r="BP49" i="38"/>
  <c r="BP50" i="38"/>
  <c r="BP51" i="38"/>
  <c r="BP52" i="38"/>
  <c r="BP53" i="38"/>
  <c r="BP54" i="38"/>
  <c r="BP55" i="38"/>
  <c r="BP56" i="38"/>
  <c r="BP57" i="38"/>
  <c r="BP58" i="38"/>
  <c r="BP59" i="38"/>
  <c r="BP60" i="38"/>
  <c r="BP61" i="38"/>
  <c r="BP62" i="38"/>
  <c r="BP63" i="38"/>
  <c r="BP64" i="38"/>
  <c r="BP4" i="38"/>
  <c r="BM5" i="38"/>
  <c r="BM6" i="38"/>
  <c r="BM7" i="38"/>
  <c r="BM8" i="38"/>
  <c r="BM9" i="38"/>
  <c r="BM10" i="38"/>
  <c r="BM11" i="38"/>
  <c r="BM12" i="38"/>
  <c r="BM13" i="38"/>
  <c r="BM14" i="38"/>
  <c r="BM15" i="38"/>
  <c r="BM16" i="38"/>
  <c r="BM17" i="38"/>
  <c r="BM18" i="38"/>
  <c r="BM19" i="38"/>
  <c r="BM20" i="38"/>
  <c r="BM21" i="38"/>
  <c r="BM22" i="38"/>
  <c r="BM23" i="38"/>
  <c r="BM24" i="38"/>
  <c r="BM25" i="38"/>
  <c r="BM26" i="38"/>
  <c r="BM27" i="38"/>
  <c r="BM28" i="38"/>
  <c r="BM29" i="38"/>
  <c r="BM30" i="38"/>
  <c r="BM31" i="38"/>
  <c r="BM32" i="38"/>
  <c r="BM33" i="38"/>
  <c r="BM34" i="38"/>
  <c r="BM35" i="38"/>
  <c r="BM36" i="38"/>
  <c r="BM37" i="38"/>
  <c r="BM38" i="38"/>
  <c r="BM39" i="38"/>
  <c r="BM40" i="38"/>
  <c r="BM41" i="38"/>
  <c r="BM42" i="38"/>
  <c r="BM43" i="38"/>
  <c r="BM44" i="38"/>
  <c r="BM45" i="38"/>
  <c r="BM46" i="38"/>
  <c r="BM47" i="38"/>
  <c r="BM48" i="38"/>
  <c r="BM49" i="38"/>
  <c r="BM50" i="38"/>
  <c r="BM51" i="38"/>
  <c r="BM52" i="38"/>
  <c r="BM53" i="38"/>
  <c r="BM54" i="38"/>
  <c r="BM55" i="38"/>
  <c r="BM56" i="38"/>
  <c r="BM57" i="38"/>
  <c r="BM58" i="38"/>
  <c r="BM59" i="38"/>
  <c r="BM60" i="38"/>
  <c r="BM61" i="38"/>
  <c r="BM62" i="38"/>
  <c r="BM63" i="38"/>
  <c r="BM64" i="38"/>
  <c r="BM65" i="38"/>
  <c r="BM66" i="38"/>
  <c r="BM67" i="38"/>
  <c r="BM68" i="38"/>
  <c r="BM69" i="38"/>
  <c r="BM70" i="38"/>
  <c r="BM71" i="38"/>
  <c r="BM72" i="38"/>
  <c r="BM73" i="38"/>
  <c r="BM74" i="38"/>
  <c r="BM75" i="38"/>
  <c r="BM76" i="38"/>
  <c r="BM77" i="38"/>
  <c r="BM78" i="38"/>
  <c r="BM79" i="38"/>
  <c r="BM80" i="38"/>
  <c r="BM81" i="38"/>
  <c r="BM82" i="38"/>
  <c r="BM4" i="38"/>
  <c r="BJ5" i="38"/>
  <c r="BJ6" i="38"/>
  <c r="BJ7" i="38"/>
  <c r="BJ8" i="38"/>
  <c r="BJ9" i="38"/>
  <c r="BJ10" i="38"/>
  <c r="BJ11" i="38"/>
  <c r="BJ12" i="38"/>
  <c r="BJ13" i="38"/>
  <c r="BJ14" i="38"/>
  <c r="BJ15" i="38"/>
  <c r="BJ16" i="38"/>
  <c r="BJ17" i="38"/>
  <c r="BJ18" i="38"/>
  <c r="BJ19" i="38"/>
  <c r="BJ20" i="38"/>
  <c r="BJ21" i="38"/>
  <c r="BJ22" i="38"/>
  <c r="BJ23" i="38"/>
  <c r="BJ24" i="38"/>
  <c r="BJ25" i="38"/>
  <c r="BJ26" i="38"/>
  <c r="BJ27" i="38"/>
  <c r="BJ28" i="38"/>
  <c r="BJ29" i="38"/>
  <c r="BJ30" i="38"/>
  <c r="BJ31" i="38"/>
  <c r="BJ32" i="38"/>
  <c r="BJ33" i="38"/>
  <c r="BJ34" i="38"/>
  <c r="BJ35" i="38"/>
  <c r="BJ36" i="38"/>
  <c r="BJ37" i="38"/>
  <c r="BJ38" i="38"/>
  <c r="BJ39" i="38"/>
  <c r="BJ40" i="38"/>
  <c r="BJ41" i="38"/>
  <c r="BJ42" i="38"/>
  <c r="BJ43" i="38"/>
  <c r="BJ44" i="38"/>
  <c r="BJ45" i="38"/>
  <c r="BJ46" i="38"/>
  <c r="BJ47" i="38"/>
  <c r="BJ48" i="38"/>
  <c r="BJ49" i="38"/>
  <c r="BJ50" i="38"/>
  <c r="BJ51" i="38"/>
  <c r="BJ52" i="38"/>
  <c r="BJ53" i="38"/>
  <c r="BJ54" i="38"/>
  <c r="BJ55" i="38"/>
  <c r="BJ56" i="38"/>
  <c r="BJ57" i="38"/>
  <c r="BJ58" i="38"/>
  <c r="BJ59" i="38"/>
  <c r="BJ60" i="38"/>
  <c r="BJ61" i="38"/>
  <c r="BJ62" i="38"/>
  <c r="BJ63" i="38"/>
  <c r="BJ64" i="38"/>
  <c r="BJ65" i="38"/>
  <c r="BJ66" i="38"/>
  <c r="BJ67" i="38"/>
  <c r="BJ68" i="38"/>
  <c r="BJ69" i="38"/>
  <c r="BJ70" i="38"/>
  <c r="BJ71" i="38"/>
  <c r="BJ72" i="38"/>
  <c r="BJ73" i="38"/>
  <c r="BJ74" i="38"/>
  <c r="BJ75" i="38"/>
  <c r="BJ76" i="38"/>
  <c r="BJ77" i="38"/>
  <c r="BJ78" i="38"/>
  <c r="BJ79" i="38"/>
  <c r="BJ80" i="38"/>
  <c r="BJ81" i="38"/>
  <c r="BJ82" i="38"/>
  <c r="BJ4" i="38"/>
  <c r="BG5" i="38"/>
  <c r="BG6" i="38"/>
  <c r="BG7" i="38"/>
  <c r="BG8" i="38"/>
  <c r="BG9" i="38"/>
  <c r="BG10" i="38"/>
  <c r="BG11" i="38"/>
  <c r="BG12" i="38"/>
  <c r="BG13" i="38"/>
  <c r="BG14" i="38"/>
  <c r="BG15" i="38"/>
  <c r="BG16" i="38"/>
  <c r="BG17" i="38"/>
  <c r="BG18" i="38"/>
  <c r="BG19" i="38"/>
  <c r="BG20" i="38"/>
  <c r="BG21" i="38"/>
  <c r="BG22" i="38"/>
  <c r="BG23" i="38"/>
  <c r="BG24" i="38"/>
  <c r="BG25" i="38"/>
  <c r="BG26" i="38"/>
  <c r="BG27" i="38"/>
  <c r="BG28" i="38"/>
  <c r="BG29" i="38"/>
  <c r="BG30" i="38"/>
  <c r="BG31" i="38"/>
  <c r="BG32" i="38"/>
  <c r="BG33" i="38"/>
  <c r="BG34" i="38"/>
  <c r="BG35" i="38"/>
  <c r="BG36" i="38"/>
  <c r="BG37" i="38"/>
  <c r="BG38" i="38"/>
  <c r="BG39" i="38"/>
  <c r="BG40" i="38"/>
  <c r="BG41" i="38"/>
  <c r="BG42" i="38"/>
  <c r="BG43" i="38"/>
  <c r="BG44" i="38"/>
  <c r="BG45" i="38"/>
  <c r="BG46" i="38"/>
  <c r="BG47" i="38"/>
  <c r="BG48" i="38"/>
  <c r="BG49" i="38"/>
  <c r="BG50" i="38"/>
  <c r="BG51" i="38"/>
  <c r="BG52" i="38"/>
  <c r="BG53" i="38"/>
  <c r="BG54" i="38"/>
  <c r="BG55" i="38"/>
  <c r="BG56" i="38"/>
  <c r="BG57" i="38"/>
  <c r="BG58" i="38"/>
  <c r="BG59" i="38"/>
  <c r="BG60" i="38"/>
  <c r="BG61" i="38"/>
  <c r="BG62" i="38"/>
  <c r="BG63" i="38"/>
  <c r="BG64" i="38"/>
  <c r="BG65" i="38"/>
  <c r="BG66" i="38"/>
  <c r="BG67" i="38"/>
  <c r="BG68" i="38"/>
  <c r="BG69" i="38"/>
  <c r="BG70" i="38"/>
  <c r="BG71" i="38"/>
  <c r="BG72" i="38"/>
  <c r="BG73" i="38"/>
  <c r="BG74" i="38"/>
  <c r="BG75" i="38"/>
  <c r="BG76" i="38"/>
  <c r="BG77" i="38"/>
  <c r="BG78" i="38"/>
  <c r="BG79" i="38"/>
  <c r="BG80" i="38"/>
  <c r="BG81" i="38"/>
  <c r="BG82" i="38"/>
  <c r="BG4" i="38"/>
  <c r="BD5" i="38"/>
  <c r="BD6" i="38"/>
  <c r="BD7" i="38"/>
  <c r="BD8" i="38"/>
  <c r="BD9" i="38"/>
  <c r="BD10" i="38"/>
  <c r="BD11" i="38"/>
  <c r="BD12" i="38"/>
  <c r="BD13" i="38"/>
  <c r="BD14" i="38"/>
  <c r="BD15" i="38"/>
  <c r="BD16" i="38"/>
  <c r="BD17" i="38"/>
  <c r="BD18" i="38"/>
  <c r="BD19" i="38"/>
  <c r="BD20" i="38"/>
  <c r="BD21" i="38"/>
  <c r="BD22" i="38"/>
  <c r="BD23" i="38"/>
  <c r="BD24" i="38"/>
  <c r="BD25" i="38"/>
  <c r="BD26" i="38"/>
  <c r="BD27" i="38"/>
  <c r="BD28" i="38"/>
  <c r="BD29" i="38"/>
  <c r="BD30" i="38"/>
  <c r="BD31" i="38"/>
  <c r="BD32" i="38"/>
  <c r="BD33" i="38"/>
  <c r="BD34" i="38"/>
  <c r="BD35" i="38"/>
  <c r="BD36" i="38"/>
  <c r="BD37" i="38"/>
  <c r="BD38" i="38"/>
  <c r="BD39" i="38"/>
  <c r="BD40" i="38"/>
  <c r="BD41" i="38"/>
  <c r="BD42" i="38"/>
  <c r="BD43" i="38"/>
  <c r="BD44" i="38"/>
  <c r="BD45" i="38"/>
  <c r="BD46" i="38"/>
  <c r="BD47" i="38"/>
  <c r="BD48" i="38"/>
  <c r="BD49" i="38"/>
  <c r="BD50" i="38"/>
  <c r="BD51" i="38"/>
  <c r="BD52" i="38"/>
  <c r="BD53" i="38"/>
  <c r="BD54" i="38"/>
  <c r="BD55" i="38"/>
  <c r="BD56" i="38"/>
  <c r="BD57" i="38"/>
  <c r="BD58" i="38"/>
  <c r="BD59" i="38"/>
  <c r="BD60" i="38"/>
  <c r="BD61" i="38"/>
  <c r="BD62" i="38"/>
  <c r="BD63" i="38"/>
  <c r="BD64" i="38"/>
  <c r="BD65" i="38"/>
  <c r="BD66" i="38"/>
  <c r="BD67" i="38"/>
  <c r="BD68" i="38"/>
  <c r="BD69" i="38"/>
  <c r="BD70" i="38"/>
  <c r="BD71" i="38"/>
  <c r="BD72" i="38"/>
  <c r="BD73" i="38"/>
  <c r="BD74" i="38"/>
  <c r="BD75" i="38"/>
  <c r="BD76" i="38"/>
  <c r="BD77" i="38"/>
  <c r="BD78" i="38"/>
  <c r="BD79" i="38"/>
  <c r="BD80" i="38"/>
  <c r="BD81" i="38"/>
  <c r="BD82" i="38"/>
  <c r="BD4" i="38"/>
  <c r="BA5" i="38"/>
  <c r="BA6" i="38"/>
  <c r="BA7" i="38"/>
  <c r="BA8" i="38"/>
  <c r="BA9" i="38"/>
  <c r="BA10" i="38"/>
  <c r="BA11" i="38"/>
  <c r="BA12" i="38"/>
  <c r="BA13" i="38"/>
  <c r="BA14" i="38"/>
  <c r="BA15" i="38"/>
  <c r="BA16" i="38"/>
  <c r="BA17" i="38"/>
  <c r="BA18" i="38"/>
  <c r="BA19" i="38"/>
  <c r="BA20" i="38"/>
  <c r="BA21" i="38"/>
  <c r="BA22" i="38"/>
  <c r="BA23" i="38"/>
  <c r="BA24" i="38"/>
  <c r="BA25" i="38"/>
  <c r="BA26" i="38"/>
  <c r="BA27" i="38"/>
  <c r="BA28" i="38"/>
  <c r="BA29" i="38"/>
  <c r="BA30" i="38"/>
  <c r="BA31" i="38"/>
  <c r="BA32" i="38"/>
  <c r="BA33" i="38"/>
  <c r="BA34" i="38"/>
  <c r="BA35" i="38"/>
  <c r="BA36" i="38"/>
  <c r="BA37" i="38"/>
  <c r="BA38" i="38"/>
  <c r="BA39" i="38"/>
  <c r="BA40" i="38"/>
  <c r="BA41" i="38"/>
  <c r="BA42" i="38"/>
  <c r="BA43" i="38"/>
  <c r="BA44" i="38"/>
  <c r="BA45" i="38"/>
  <c r="BA46" i="38"/>
  <c r="BA47" i="38"/>
  <c r="BA48" i="38"/>
  <c r="BA49" i="38"/>
  <c r="BA50" i="38"/>
  <c r="BA51" i="38"/>
  <c r="BA52" i="38"/>
  <c r="BA53" i="38"/>
  <c r="BA54" i="38"/>
  <c r="BA55" i="38"/>
  <c r="BA56" i="38"/>
  <c r="BA57" i="38"/>
  <c r="BA58" i="38"/>
  <c r="BA59" i="38"/>
  <c r="BA60" i="38"/>
  <c r="BA61" i="38"/>
  <c r="BA62" i="38"/>
  <c r="BA63" i="38"/>
  <c r="BA64" i="38"/>
  <c r="BA65" i="38"/>
  <c r="BA66" i="38"/>
  <c r="BA67" i="38"/>
  <c r="BA68" i="38"/>
  <c r="BA69" i="38"/>
  <c r="BA70" i="38"/>
  <c r="BA71" i="38"/>
  <c r="BA72" i="38"/>
  <c r="BA73" i="38"/>
  <c r="BA74" i="38"/>
  <c r="BA75" i="38"/>
  <c r="BA76" i="38"/>
  <c r="BA77" i="38"/>
  <c r="BA78" i="38"/>
  <c r="BA79" i="38"/>
  <c r="BA80" i="38"/>
  <c r="BA81" i="38"/>
  <c r="BA82" i="38"/>
  <c r="BA4" i="38"/>
  <c r="AX5" i="38"/>
  <c r="AX6" i="38"/>
  <c r="AX7" i="38"/>
  <c r="AX8" i="38"/>
  <c r="AX9" i="38"/>
  <c r="AX10" i="38"/>
  <c r="AX11" i="38"/>
  <c r="AX12" i="38"/>
  <c r="AX13" i="38"/>
  <c r="AX14" i="38"/>
  <c r="AX15" i="38"/>
  <c r="AX16" i="38"/>
  <c r="AX17" i="38"/>
  <c r="AX18" i="38"/>
  <c r="AX19" i="38"/>
  <c r="AX20" i="38"/>
  <c r="AX21" i="38"/>
  <c r="AX22" i="38"/>
  <c r="AX23" i="38"/>
  <c r="AX24" i="38"/>
  <c r="AX25" i="38"/>
  <c r="AX26" i="38"/>
  <c r="AX27" i="38"/>
  <c r="AX28" i="38"/>
  <c r="AX29" i="38"/>
  <c r="AX30" i="38"/>
  <c r="AX31" i="38"/>
  <c r="AX32" i="38"/>
  <c r="AX33" i="38"/>
  <c r="AX34" i="38"/>
  <c r="AX35" i="38"/>
  <c r="AX36" i="38"/>
  <c r="AX37" i="38"/>
  <c r="AX38" i="38"/>
  <c r="AX39" i="38"/>
  <c r="AX40" i="38"/>
  <c r="AX41" i="38"/>
  <c r="AX42" i="38"/>
  <c r="AX43" i="38"/>
  <c r="AX44" i="38"/>
  <c r="AX45" i="38"/>
  <c r="AX46" i="38"/>
  <c r="AX47" i="38"/>
  <c r="AX48" i="38"/>
  <c r="AX49" i="38"/>
  <c r="AX50" i="38"/>
  <c r="AX51" i="38"/>
  <c r="AX52" i="38"/>
  <c r="AX53" i="38"/>
  <c r="AX54" i="38"/>
  <c r="AX55" i="38"/>
  <c r="AX56" i="38"/>
  <c r="AX57" i="38"/>
  <c r="AX58" i="38"/>
  <c r="AX59" i="38"/>
  <c r="AX60" i="38"/>
  <c r="AX61" i="38"/>
  <c r="AX62" i="38"/>
  <c r="AX63" i="38"/>
  <c r="AX64" i="38"/>
  <c r="AX65" i="38"/>
  <c r="AX66" i="38"/>
  <c r="AX67" i="38"/>
  <c r="AX68" i="38"/>
  <c r="AX69" i="38"/>
  <c r="AX70" i="38"/>
  <c r="AX71" i="38"/>
  <c r="AX72" i="38"/>
  <c r="AX73" i="38"/>
  <c r="AX74" i="38"/>
  <c r="AX75" i="38"/>
  <c r="AX76" i="38"/>
  <c r="AX77" i="38"/>
  <c r="AX78" i="38"/>
  <c r="AX79" i="38"/>
  <c r="AX80" i="38"/>
  <c r="AX81" i="38"/>
  <c r="AX82" i="38"/>
  <c r="AX4" i="38"/>
  <c r="AU5" i="38"/>
  <c r="AU6" i="38"/>
  <c r="AU7" i="38"/>
  <c r="AU8" i="38"/>
  <c r="AU9" i="38"/>
  <c r="AU10" i="38"/>
  <c r="AU11" i="38"/>
  <c r="AU12" i="38"/>
  <c r="AU13" i="38"/>
  <c r="AU14" i="38"/>
  <c r="AU15" i="38"/>
  <c r="AU16" i="38"/>
  <c r="AU17" i="38"/>
  <c r="AU18" i="38"/>
  <c r="AU19" i="38"/>
  <c r="AU20" i="38"/>
  <c r="AU21" i="38"/>
  <c r="AU22" i="38"/>
  <c r="AU23" i="38"/>
  <c r="AU24" i="38"/>
  <c r="AU25" i="38"/>
  <c r="AU26" i="38"/>
  <c r="AU27" i="38"/>
  <c r="AU28" i="38"/>
  <c r="AU29" i="38"/>
  <c r="AU30" i="38"/>
  <c r="AU31" i="38"/>
  <c r="AU32" i="38"/>
  <c r="AU33" i="38"/>
  <c r="AU34" i="38"/>
  <c r="AU35" i="38"/>
  <c r="AU36" i="38"/>
  <c r="AU37" i="38"/>
  <c r="AU38" i="38"/>
  <c r="AU39" i="38"/>
  <c r="AU40" i="38"/>
  <c r="AU41" i="38"/>
  <c r="AU42" i="38"/>
  <c r="AU43" i="38"/>
  <c r="AU44" i="38"/>
  <c r="AU45" i="38"/>
  <c r="AU46" i="38"/>
  <c r="AU47" i="38"/>
  <c r="AU48" i="38"/>
  <c r="AU49" i="38"/>
  <c r="AU50" i="38"/>
  <c r="AU51" i="38"/>
  <c r="AU52" i="38"/>
  <c r="AU53" i="38"/>
  <c r="AU54" i="38"/>
  <c r="AU55" i="38"/>
  <c r="AU56" i="38"/>
  <c r="AU57" i="38"/>
  <c r="AU58" i="38"/>
  <c r="AU59" i="38"/>
  <c r="AU60" i="38"/>
  <c r="AU61" i="38"/>
  <c r="AU62" i="38"/>
  <c r="AU63" i="38"/>
  <c r="AU64" i="38"/>
  <c r="AU65" i="38"/>
  <c r="AU66" i="38"/>
  <c r="AU67" i="38"/>
  <c r="AU68" i="38"/>
  <c r="AU69" i="38"/>
  <c r="AU70" i="38"/>
  <c r="AU71" i="38"/>
  <c r="AU72" i="38"/>
  <c r="AU73" i="38"/>
  <c r="AU74" i="38"/>
  <c r="AU75" i="38"/>
  <c r="AU76" i="38"/>
  <c r="AU77" i="38"/>
  <c r="AU78" i="38"/>
  <c r="AU79" i="38"/>
  <c r="AU80" i="38"/>
  <c r="AU81" i="38"/>
  <c r="AU82" i="38"/>
  <c r="AU4" i="38"/>
  <c r="AR5" i="38"/>
  <c r="AR6" i="38"/>
  <c r="AR7" i="38"/>
  <c r="AR8" i="38"/>
  <c r="AR9" i="38"/>
  <c r="AR10" i="38"/>
  <c r="AR11" i="38"/>
  <c r="AR12" i="38"/>
  <c r="AR13" i="38"/>
  <c r="AR14" i="38"/>
  <c r="AR15" i="38"/>
  <c r="AR16" i="38"/>
  <c r="AR17" i="38"/>
  <c r="AR18" i="38"/>
  <c r="AR19" i="38"/>
  <c r="AR20" i="38"/>
  <c r="AR21" i="38"/>
  <c r="AR22" i="38"/>
  <c r="AR23" i="38"/>
  <c r="AR24" i="38"/>
  <c r="AR25" i="38"/>
  <c r="AR26" i="38"/>
  <c r="AR27" i="38"/>
  <c r="AR28" i="38"/>
  <c r="AR29" i="38"/>
  <c r="AR30" i="38"/>
  <c r="AR31" i="38"/>
  <c r="AR32" i="38"/>
  <c r="AR33" i="38"/>
  <c r="AR34" i="38"/>
  <c r="AR35" i="38"/>
  <c r="AR36" i="38"/>
  <c r="AR37" i="38"/>
  <c r="AR38" i="38"/>
  <c r="AR39" i="38"/>
  <c r="AR40" i="38"/>
  <c r="AR41" i="38"/>
  <c r="AR42" i="38"/>
  <c r="AR43" i="38"/>
  <c r="AR44" i="38"/>
  <c r="AR45" i="38"/>
  <c r="AR46" i="38"/>
  <c r="AR47" i="38"/>
  <c r="AR48" i="38"/>
  <c r="AR49" i="38"/>
  <c r="AR50" i="38"/>
  <c r="AR51" i="38"/>
  <c r="AR52" i="38"/>
  <c r="AR53" i="38"/>
  <c r="AR54" i="38"/>
  <c r="AR55" i="38"/>
  <c r="AR56" i="38"/>
  <c r="AR57" i="38"/>
  <c r="AR58" i="38"/>
  <c r="AR59" i="38"/>
  <c r="AR60" i="38"/>
  <c r="AR61" i="38"/>
  <c r="AR62" i="38"/>
  <c r="AR63" i="38"/>
  <c r="AR64" i="38"/>
  <c r="AR65" i="38"/>
  <c r="AR66" i="38"/>
  <c r="AR67" i="38"/>
  <c r="AR68" i="38"/>
  <c r="AR69" i="38"/>
  <c r="AR70" i="38"/>
  <c r="AR71" i="38"/>
  <c r="AR72" i="38"/>
  <c r="AR73" i="38"/>
  <c r="AR74" i="38"/>
  <c r="AR75" i="38"/>
  <c r="AR76" i="38"/>
  <c r="AR77" i="38"/>
  <c r="AR78" i="38"/>
  <c r="AR79" i="38"/>
  <c r="AR80" i="38"/>
  <c r="AR81" i="38"/>
  <c r="AR82" i="38"/>
  <c r="AR83" i="38"/>
  <c r="AR84" i="38"/>
  <c r="AR85" i="38"/>
  <c r="AR86" i="38"/>
  <c r="AR87" i="38"/>
  <c r="AR88" i="38"/>
  <c r="AR89" i="38"/>
  <c r="AR90" i="38"/>
  <c r="AR4" i="38"/>
  <c r="AO5" i="38"/>
  <c r="AO6" i="38"/>
  <c r="AO7" i="38"/>
  <c r="AO8" i="38"/>
  <c r="AO9" i="38"/>
  <c r="AO10" i="38"/>
  <c r="AO11" i="38"/>
  <c r="AO12" i="38"/>
  <c r="AO13" i="38"/>
  <c r="AO14" i="38"/>
  <c r="AO15" i="38"/>
  <c r="AO16" i="38"/>
  <c r="AO17" i="38"/>
  <c r="AO18" i="38"/>
  <c r="AO19" i="38"/>
  <c r="AO20" i="38"/>
  <c r="AO21" i="38"/>
  <c r="AO22" i="38"/>
  <c r="AO23" i="38"/>
  <c r="AO24" i="38"/>
  <c r="AO25" i="38"/>
  <c r="AO26" i="38"/>
  <c r="AO27" i="38"/>
  <c r="AO28" i="38"/>
  <c r="AO29" i="38"/>
  <c r="AO30" i="38"/>
  <c r="AO31" i="38"/>
  <c r="AO32" i="38"/>
  <c r="AO33" i="38"/>
  <c r="AO34" i="38"/>
  <c r="AO35" i="38"/>
  <c r="AO36"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4" i="38"/>
  <c r="AL5" i="38" l="1"/>
  <c r="AL6" i="38"/>
  <c r="AL7" i="38"/>
  <c r="AL8" i="38"/>
  <c r="AL9" i="38"/>
  <c r="AL10" i="38"/>
  <c r="AL11" i="38"/>
  <c r="AL12" i="38"/>
  <c r="AL13" i="38"/>
  <c r="AL14" i="38"/>
  <c r="AL15" i="38"/>
  <c r="AL16" i="38"/>
  <c r="AL17" i="38"/>
  <c r="AL18" i="38"/>
  <c r="AL19" i="38"/>
  <c r="AL20" i="38"/>
  <c r="AL21" i="38"/>
  <c r="AL22" i="38"/>
  <c r="AL23" i="38"/>
  <c r="AL24" i="38"/>
  <c r="AL25" i="38"/>
  <c r="AL26" i="38"/>
  <c r="AL27" i="38"/>
  <c r="AL28" i="38"/>
  <c r="AL29" i="38"/>
  <c r="AL30" i="38"/>
  <c r="AL31" i="38"/>
  <c r="AL32" i="38"/>
  <c r="AL33" i="38"/>
  <c r="AL34" i="38"/>
  <c r="AL35" i="38"/>
  <c r="AL36" i="38"/>
  <c r="AL37" i="38"/>
  <c r="AL38" i="38"/>
  <c r="AL39" i="38"/>
  <c r="AL40" i="38"/>
  <c r="AL41" i="38"/>
  <c r="AL42" i="38"/>
  <c r="AL43" i="38"/>
  <c r="AL44" i="38"/>
  <c r="AL45" i="38"/>
  <c r="AL46" i="38"/>
  <c r="AL47" i="38"/>
  <c r="AL48" i="38"/>
  <c r="AL49" i="38"/>
  <c r="AL50" i="38"/>
  <c r="AL51" i="38"/>
  <c r="AL52" i="38"/>
  <c r="AL53" i="38"/>
  <c r="AL54" i="38"/>
  <c r="AL55" i="38"/>
  <c r="AL56" i="38"/>
  <c r="AL57" i="38"/>
  <c r="AL58" i="38"/>
  <c r="AL59" i="38"/>
  <c r="AL60" i="38"/>
  <c r="AL61" i="38"/>
  <c r="AL62" i="38"/>
  <c r="AL63" i="38"/>
  <c r="AL64" i="38"/>
  <c r="AL65" i="38"/>
  <c r="AL66" i="38"/>
  <c r="AL67" i="38"/>
  <c r="AL68" i="38"/>
  <c r="AL69" i="38"/>
  <c r="AL70" i="38"/>
  <c r="AL71" i="38"/>
  <c r="AL72" i="38"/>
  <c r="AL73" i="38"/>
  <c r="AL74" i="38"/>
  <c r="AL75" i="38"/>
  <c r="AL76" i="38"/>
  <c r="AL77" i="38"/>
  <c r="AL78" i="38"/>
  <c r="AL79" i="38"/>
  <c r="AL80" i="38"/>
  <c r="AL81" i="38"/>
  <c r="AL82" i="38"/>
  <c r="AL83" i="38"/>
  <c r="AL84" i="38"/>
  <c r="AL85" i="38"/>
  <c r="AL86" i="38"/>
  <c r="AL87" i="38"/>
  <c r="AL88" i="38"/>
  <c r="AL89" i="38"/>
  <c r="AL4" i="38"/>
  <c r="AI5" i="38"/>
  <c r="AI6" i="38"/>
  <c r="AI7" i="38"/>
  <c r="AI8" i="38"/>
  <c r="AI9" i="38"/>
  <c r="AI10" i="38"/>
  <c r="AI11" i="38"/>
  <c r="AI12" i="38"/>
  <c r="AI13" i="38"/>
  <c r="AI14" i="38"/>
  <c r="AI15" i="38"/>
  <c r="AI16" i="38"/>
  <c r="AI17" i="38"/>
  <c r="AI18" i="38"/>
  <c r="AI19" i="38"/>
  <c r="AI20" i="38"/>
  <c r="AI21" i="38"/>
  <c r="AI22" i="38"/>
  <c r="AI23" i="38"/>
  <c r="AI24" i="38"/>
  <c r="AI25" i="38"/>
  <c r="AI26" i="38"/>
  <c r="AI27" i="38"/>
  <c r="AI28" i="38"/>
  <c r="AI29" i="38"/>
  <c r="AI30" i="38"/>
  <c r="AI31" i="38"/>
  <c r="AI32" i="38"/>
  <c r="AI33" i="38"/>
  <c r="AI34" i="38"/>
  <c r="AI35" i="38"/>
  <c r="AI36" i="38"/>
  <c r="AI37" i="38"/>
  <c r="AI38" i="38"/>
  <c r="AI39" i="38"/>
  <c r="AI40" i="38"/>
  <c r="AI41" i="38"/>
  <c r="AI42" i="38"/>
  <c r="AI43" i="38"/>
  <c r="AI44" i="38"/>
  <c r="AI45" i="38"/>
  <c r="AI46" i="38"/>
  <c r="AI47" i="38"/>
  <c r="AI48" i="38"/>
  <c r="AI49" i="38"/>
  <c r="AI50" i="38"/>
  <c r="AI51" i="38"/>
  <c r="AI52" i="38"/>
  <c r="AI53" i="38"/>
  <c r="AI54" i="38"/>
  <c r="AI55" i="38"/>
  <c r="AI56" i="38"/>
  <c r="AI57" i="38"/>
  <c r="AI58" i="38"/>
  <c r="AI59" i="38"/>
  <c r="AI60" i="38"/>
  <c r="AI61" i="38"/>
  <c r="AI62" i="38"/>
  <c r="AI63" i="38"/>
  <c r="AI64" i="38"/>
  <c r="AI65" i="38"/>
  <c r="AI66" i="38"/>
  <c r="AI67" i="38"/>
  <c r="AI68" i="38"/>
  <c r="AI69" i="38"/>
  <c r="AI70" i="38"/>
  <c r="AI71" i="38"/>
  <c r="AI72" i="38"/>
  <c r="AI73" i="38"/>
  <c r="AI74" i="38"/>
  <c r="AI75" i="38"/>
  <c r="AI76" i="38"/>
  <c r="AI77" i="38"/>
  <c r="AI78" i="38"/>
  <c r="AI79" i="38"/>
  <c r="AI80" i="38"/>
  <c r="AI81" i="38"/>
  <c r="AI82" i="38"/>
  <c r="AI83" i="38"/>
  <c r="AI84" i="38"/>
  <c r="AI85" i="38"/>
  <c r="AI86" i="38"/>
  <c r="AI87" i="38"/>
  <c r="AI88" i="38"/>
  <c r="AI89" i="38"/>
  <c r="AI4" i="38"/>
  <c r="AF5" i="38"/>
  <c r="AF6" i="38"/>
  <c r="AF7" i="38"/>
  <c r="AF8" i="38"/>
  <c r="AF9" i="38"/>
  <c r="AF10" i="38"/>
  <c r="AF11" i="38"/>
  <c r="AF12" i="38"/>
  <c r="AF13" i="38"/>
  <c r="AF14" i="38"/>
  <c r="AF15" i="38"/>
  <c r="AF16" i="38"/>
  <c r="AF17" i="38"/>
  <c r="AF18" i="38"/>
  <c r="AF19" i="38"/>
  <c r="AF20" i="38"/>
  <c r="AF21" i="38"/>
  <c r="AF22" i="38"/>
  <c r="AF23" i="38"/>
  <c r="AF24" i="38"/>
  <c r="AF25" i="38"/>
  <c r="AF26" i="38"/>
  <c r="AF27" i="38"/>
  <c r="AF28" i="38"/>
  <c r="AF29" i="38"/>
  <c r="AF30" i="38"/>
  <c r="AF31" i="38"/>
  <c r="AF32" i="38"/>
  <c r="AF33" i="38"/>
  <c r="AF34" i="38"/>
  <c r="AF35" i="38"/>
  <c r="AF36" i="38"/>
  <c r="AF37" i="38"/>
  <c r="AF38" i="38"/>
  <c r="AF39" i="38"/>
  <c r="AF40" i="38"/>
  <c r="AF41" i="38"/>
  <c r="AF42" i="38"/>
  <c r="AF43" i="38"/>
  <c r="AF44" i="38"/>
  <c r="AF45" i="38"/>
  <c r="AF46" i="38"/>
  <c r="AF47" i="38"/>
  <c r="AF48" i="38"/>
  <c r="AF49" i="38"/>
  <c r="AF50" i="38"/>
  <c r="AF51" i="38"/>
  <c r="AF52" i="38"/>
  <c r="AF53" i="38"/>
  <c r="AF54" i="38"/>
  <c r="AF55" i="38"/>
  <c r="AF56" i="38"/>
  <c r="AF57" i="38"/>
  <c r="AF58" i="38"/>
  <c r="AF59" i="38"/>
  <c r="AF60" i="38"/>
  <c r="AF61" i="38"/>
  <c r="AF62" i="38"/>
  <c r="AF63" i="38"/>
  <c r="AF64" i="38"/>
  <c r="AF65" i="38"/>
  <c r="AF66" i="38"/>
  <c r="AF67" i="38"/>
  <c r="AF68" i="38"/>
  <c r="AF69" i="38"/>
  <c r="AF70" i="38"/>
  <c r="AF71" i="38"/>
  <c r="AF72" i="38"/>
  <c r="AF73" i="38"/>
  <c r="AF74" i="38"/>
  <c r="AF75" i="38"/>
  <c r="AF76" i="38"/>
  <c r="AF77" i="38"/>
  <c r="AF78" i="38"/>
  <c r="AF79" i="38"/>
  <c r="AF80" i="38"/>
  <c r="AF81" i="38"/>
  <c r="AF82" i="38"/>
  <c r="AF83" i="38"/>
  <c r="AF84" i="38"/>
  <c r="AF85" i="38"/>
  <c r="AF86" i="38"/>
  <c r="AF87" i="38"/>
  <c r="AF88" i="38"/>
  <c r="AF89" i="38"/>
  <c r="AF4" i="38"/>
  <c r="AC5" i="38"/>
  <c r="AC6" i="38"/>
  <c r="AC7" i="38"/>
  <c r="AC8" i="38"/>
  <c r="AC9" i="38"/>
  <c r="AC10" i="38"/>
  <c r="AC11" i="38"/>
  <c r="AC12" i="38"/>
  <c r="AC13" i="38"/>
  <c r="AC14" i="38"/>
  <c r="AC15" i="38"/>
  <c r="AC16" i="38"/>
  <c r="AC17" i="38"/>
  <c r="AC18" i="38"/>
  <c r="AC19" i="38"/>
  <c r="AC20" i="38"/>
  <c r="AC21" i="38"/>
  <c r="AC22" i="38"/>
  <c r="AC23" i="38"/>
  <c r="AC24" i="38"/>
  <c r="AC25" i="38"/>
  <c r="AC26" i="38"/>
  <c r="AC27" i="38"/>
  <c r="AC28" i="38"/>
  <c r="AC29" i="38"/>
  <c r="AC30" i="38"/>
  <c r="AC31" i="38"/>
  <c r="AC32" i="38"/>
  <c r="AC33" i="38"/>
  <c r="AC34" i="38"/>
  <c r="AC35" i="38"/>
  <c r="AC36" i="38"/>
  <c r="AC37" i="38"/>
  <c r="AC38" i="38"/>
  <c r="AC39" i="38"/>
  <c r="AC40" i="38"/>
  <c r="AC41" i="38"/>
  <c r="AC42" i="38"/>
  <c r="AC43" i="38"/>
  <c r="AC44" i="38"/>
  <c r="AC45" i="38"/>
  <c r="AC46" i="38"/>
  <c r="AC47" i="38"/>
  <c r="AC48" i="38"/>
  <c r="AC49" i="38"/>
  <c r="AC50" i="38"/>
  <c r="AC51" i="38"/>
  <c r="AC52" i="38"/>
  <c r="AC53" i="38"/>
  <c r="AC54" i="38"/>
  <c r="AC55" i="38"/>
  <c r="AC56" i="38"/>
  <c r="AC57" i="38"/>
  <c r="AC58" i="38"/>
  <c r="AC59" i="38"/>
  <c r="AC60" i="38"/>
  <c r="AC61" i="38"/>
  <c r="AC62" i="38"/>
  <c r="AC63" i="38"/>
  <c r="AC64" i="38"/>
  <c r="AC65" i="38"/>
  <c r="AC66" i="38"/>
  <c r="AC67" i="38"/>
  <c r="AC68" i="38"/>
  <c r="AC69" i="38"/>
  <c r="AC70" i="38"/>
  <c r="AC71" i="38"/>
  <c r="AC72" i="38"/>
  <c r="AC73" i="38"/>
  <c r="AC74" i="38"/>
  <c r="AC75" i="38"/>
  <c r="AC76" i="38"/>
  <c r="AC77" i="38"/>
  <c r="AC78" i="38"/>
  <c r="AC79" i="38"/>
  <c r="AC80" i="38"/>
  <c r="AC81" i="38"/>
  <c r="AC82" i="38"/>
  <c r="AC83" i="38"/>
  <c r="AC84" i="38"/>
  <c r="AC85" i="38"/>
  <c r="AC86" i="38"/>
  <c r="AC87" i="38"/>
  <c r="AC88" i="38"/>
  <c r="AC89" i="38"/>
  <c r="AC4" i="38"/>
  <c r="Z5" i="38" l="1"/>
  <c r="Z6" i="38"/>
  <c r="Z7" i="38"/>
  <c r="Z8" i="38"/>
  <c r="Z9" i="38"/>
  <c r="Z10" i="38"/>
  <c r="Z11" i="38"/>
  <c r="Z12" i="38"/>
  <c r="Z13" i="38"/>
  <c r="Z14" i="38"/>
  <c r="Z15" i="38"/>
  <c r="Z16" i="38"/>
  <c r="Z17" i="38"/>
  <c r="Z18" i="38"/>
  <c r="Z19" i="38"/>
  <c r="Z20" i="38"/>
  <c r="Z21" i="38"/>
  <c r="Z22" i="38"/>
  <c r="Z23" i="38"/>
  <c r="Z24" i="38"/>
  <c r="Z25" i="38"/>
  <c r="Z26" i="38"/>
  <c r="Z27" i="38"/>
  <c r="Z28" i="38"/>
  <c r="Z29" i="38"/>
  <c r="Z30" i="38"/>
  <c r="Z31" i="38"/>
  <c r="Z32" i="38"/>
  <c r="Z33" i="38"/>
  <c r="Z34" i="38"/>
  <c r="Z35" i="38"/>
  <c r="Z36" i="38"/>
  <c r="Z37" i="38"/>
  <c r="Z38" i="38"/>
  <c r="Z39" i="38"/>
  <c r="Z40" i="38"/>
  <c r="Z41" i="38"/>
  <c r="Z42" i="38"/>
  <c r="Z43" i="38"/>
  <c r="Z44" i="38"/>
  <c r="Z45" i="38"/>
  <c r="Z46" i="38"/>
  <c r="Z47" i="38"/>
  <c r="Z48" i="38"/>
  <c r="Z49" i="38"/>
  <c r="Z50" i="38"/>
  <c r="Z51" i="38"/>
  <c r="Z52" i="38"/>
  <c r="Z53" i="38"/>
  <c r="Z54" i="38"/>
  <c r="Z55" i="38"/>
  <c r="Z56" i="38"/>
  <c r="Z57" i="38"/>
  <c r="Z58" i="38"/>
  <c r="Z59" i="38"/>
  <c r="Z60" i="38"/>
  <c r="Z61" i="38"/>
  <c r="Z62" i="38"/>
  <c r="Z63" i="38"/>
  <c r="Z64" i="38"/>
  <c r="Z65" i="38"/>
  <c r="Z66" i="38"/>
  <c r="Z67" i="38"/>
  <c r="Z68" i="38"/>
  <c r="Z69" i="38"/>
  <c r="Z70" i="38"/>
  <c r="Z71" i="38"/>
  <c r="Z72" i="38"/>
  <c r="Z73" i="38"/>
  <c r="Z74" i="38"/>
  <c r="Z75" i="38"/>
  <c r="Z76" i="38"/>
  <c r="Z77" i="38"/>
  <c r="Z78" i="38"/>
  <c r="Z79" i="38"/>
  <c r="Z80" i="38"/>
  <c r="Z81" i="38"/>
  <c r="Z82" i="38"/>
  <c r="Z83" i="38"/>
  <c r="Z84" i="38"/>
  <c r="Z85" i="38"/>
  <c r="Z4" i="38"/>
  <c r="W5" i="38" l="1"/>
  <c r="W6" i="38"/>
  <c r="W7" i="38"/>
  <c r="W8" i="38"/>
  <c r="W9" i="38"/>
  <c r="W10" i="38"/>
  <c r="W11" i="38"/>
  <c r="W12" i="38"/>
  <c r="W13" i="38"/>
  <c r="W14" i="38"/>
  <c r="W15" i="38"/>
  <c r="W16" i="38"/>
  <c r="W17" i="38"/>
  <c r="W18" i="38"/>
  <c r="W19" i="38"/>
  <c r="W20" i="38"/>
  <c r="W21" i="38"/>
  <c r="W22" i="38"/>
  <c r="W23" i="38"/>
  <c r="W24" i="38"/>
  <c r="W25" i="38"/>
  <c r="W26" i="38"/>
  <c r="W27" i="38"/>
  <c r="W28" i="38"/>
  <c r="W29" i="38"/>
  <c r="W30" i="38"/>
  <c r="W31" i="38"/>
  <c r="W32" i="38"/>
  <c r="W33" i="38"/>
  <c r="W34" i="38"/>
  <c r="W35" i="38"/>
  <c r="W36" i="38"/>
  <c r="W37" i="38"/>
  <c r="W38" i="38"/>
  <c r="W39" i="38"/>
  <c r="W40" i="38"/>
  <c r="W41" i="38"/>
  <c r="W42" i="38"/>
  <c r="W43" i="38"/>
  <c r="W44" i="38"/>
  <c r="W45" i="38"/>
  <c r="W46" i="38"/>
  <c r="W47" i="38"/>
  <c r="W48" i="38"/>
  <c r="W49" i="38"/>
  <c r="W50" i="38"/>
  <c r="W51" i="38"/>
  <c r="W52" i="38"/>
  <c r="W53" i="38"/>
  <c r="W54" i="38"/>
  <c r="W55" i="38"/>
  <c r="W56" i="38"/>
  <c r="W57" i="38"/>
  <c r="W58" i="38"/>
  <c r="W59" i="38"/>
  <c r="W60" i="38"/>
  <c r="W61" i="38"/>
  <c r="W62" i="38"/>
  <c r="W63" i="38"/>
  <c r="W64" i="38"/>
  <c r="W65" i="38"/>
  <c r="W66" i="38"/>
  <c r="W67" i="38"/>
  <c r="W68" i="38"/>
  <c r="W69" i="38"/>
  <c r="W70" i="38"/>
  <c r="W71" i="38"/>
  <c r="W72" i="38"/>
  <c r="W73" i="38"/>
  <c r="W74" i="38"/>
  <c r="W75" i="38"/>
  <c r="W76" i="38"/>
  <c r="W77" i="38"/>
  <c r="W78" i="38"/>
  <c r="W79" i="38"/>
  <c r="W80" i="38"/>
  <c r="W81" i="38"/>
  <c r="W82" i="38"/>
  <c r="W83" i="38"/>
  <c r="W84" i="38"/>
  <c r="W85" i="38"/>
  <c r="W4" i="38"/>
  <c r="T5" i="38"/>
  <c r="T6" i="38"/>
  <c r="T7" i="38"/>
  <c r="T8" i="38"/>
  <c r="T9" i="38"/>
  <c r="T10" i="38"/>
  <c r="T11" i="38"/>
  <c r="T12" i="38"/>
  <c r="T13" i="38"/>
  <c r="T14" i="38"/>
  <c r="T15" i="38"/>
  <c r="T16" i="38"/>
  <c r="T17" i="38"/>
  <c r="T18" i="38"/>
  <c r="T19" i="38"/>
  <c r="T20" i="38"/>
  <c r="T21" i="38"/>
  <c r="T22" i="38"/>
  <c r="T23" i="38"/>
  <c r="T24" i="38"/>
  <c r="T25" i="38"/>
  <c r="T26" i="38"/>
  <c r="T27" i="38"/>
  <c r="T28" i="38"/>
  <c r="T29" i="38"/>
  <c r="T30" i="38"/>
  <c r="T31" i="38"/>
  <c r="T32" i="38"/>
  <c r="T33" i="38"/>
  <c r="T34" i="38"/>
  <c r="T35" i="38"/>
  <c r="T36" i="38"/>
  <c r="T37" i="38"/>
  <c r="T38" i="38"/>
  <c r="T39" i="38"/>
  <c r="T40" i="38"/>
  <c r="T41" i="38"/>
  <c r="T42" i="38"/>
  <c r="T43" i="38"/>
  <c r="T44" i="38"/>
  <c r="T45" i="38"/>
  <c r="T46" i="38"/>
  <c r="T47" i="38"/>
  <c r="T48" i="38"/>
  <c r="T49" i="38"/>
  <c r="T50" i="38"/>
  <c r="T51" i="38"/>
  <c r="T52" i="38"/>
  <c r="T53" i="38"/>
  <c r="T54" i="38"/>
  <c r="T55" i="38"/>
  <c r="T56" i="38"/>
  <c r="T57" i="38"/>
  <c r="T58" i="38"/>
  <c r="T59" i="38"/>
  <c r="T60" i="38"/>
  <c r="T61" i="38"/>
  <c r="T62" i="38"/>
  <c r="T63" i="38"/>
  <c r="T64" i="38"/>
  <c r="T65" i="38"/>
  <c r="T66" i="38"/>
  <c r="T67" i="38"/>
  <c r="T68" i="38"/>
  <c r="T69" i="38"/>
  <c r="T70" i="38"/>
  <c r="T71" i="38"/>
  <c r="T72" i="38"/>
  <c r="T73" i="38"/>
  <c r="T74" i="38"/>
  <c r="T75" i="38"/>
  <c r="T76" i="38"/>
  <c r="T77" i="38"/>
  <c r="T4" i="38"/>
  <c r="Q5" i="38" l="1"/>
  <c r="Q6" i="38"/>
  <c r="Q7" i="38"/>
  <c r="Q8" i="38"/>
  <c r="Q9" i="38"/>
  <c r="Q10" i="38"/>
  <c r="Q11" i="38"/>
  <c r="Q12" i="38"/>
  <c r="Q13" i="38"/>
  <c r="Q14" i="38"/>
  <c r="Q15" i="38"/>
  <c r="Q16" i="38"/>
  <c r="Q17" i="38"/>
  <c r="Q18" i="38"/>
  <c r="Q19" i="38"/>
  <c r="Q20" i="38"/>
  <c r="Q21" i="38"/>
  <c r="Q22" i="38"/>
  <c r="Q23" i="38"/>
  <c r="Q24" i="38"/>
  <c r="Q25" i="38"/>
  <c r="Q26" i="38"/>
  <c r="Q27" i="38"/>
  <c r="Q28" i="38"/>
  <c r="Q29" i="38"/>
  <c r="Q30" i="38"/>
  <c r="Q31" i="38"/>
  <c r="Q32" i="38"/>
  <c r="Q33" i="38"/>
  <c r="Q34" i="38"/>
  <c r="Q35" i="38"/>
  <c r="Q36" i="38"/>
  <c r="Q37" i="38"/>
  <c r="Q38" i="38"/>
  <c r="Q39" i="38"/>
  <c r="Q40" i="38"/>
  <c r="Q41" i="38"/>
  <c r="Q42" i="38"/>
  <c r="Q43" i="38"/>
  <c r="Q44" i="38"/>
  <c r="Q45" i="38"/>
  <c r="Q46" i="38"/>
  <c r="Q47" i="38"/>
  <c r="Q48" i="38"/>
  <c r="Q49" i="38"/>
  <c r="Q50" i="38"/>
  <c r="Q51" i="38"/>
  <c r="Q52" i="38"/>
  <c r="Q53" i="38"/>
  <c r="Q54" i="38"/>
  <c r="Q55" i="38"/>
  <c r="Q56" i="38"/>
  <c r="Q57" i="38"/>
  <c r="Q58" i="38"/>
  <c r="Q59" i="38"/>
  <c r="Q60" i="38"/>
  <c r="Q61" i="38"/>
  <c r="Q62" i="38"/>
  <c r="Q63" i="38"/>
  <c r="Q64" i="38"/>
  <c r="Q65" i="38"/>
  <c r="Q66" i="38"/>
  <c r="Q67" i="38"/>
  <c r="Q68" i="38"/>
  <c r="Q69" i="38"/>
  <c r="Q70" i="38"/>
  <c r="Q71" i="38"/>
  <c r="Q72" i="38"/>
  <c r="Q73" i="38"/>
  <c r="Q74" i="38"/>
  <c r="Q75" i="38"/>
  <c r="Q76" i="38"/>
  <c r="Q77" i="38"/>
  <c r="Q4" i="38"/>
  <c r="M21" i="37" l="1"/>
  <c r="M21" i="34"/>
  <c r="X45" i="37" l="1"/>
  <c r="X44" i="37"/>
  <c r="X43" i="37"/>
  <c r="X42" i="37"/>
  <c r="X41" i="37"/>
  <c r="X40" i="37"/>
  <c r="X39" i="37"/>
  <c r="X38" i="37"/>
  <c r="M22" i="37"/>
  <c r="T32" i="37" s="1"/>
  <c r="X37" i="37" l="1"/>
  <c r="U32" i="37"/>
  <c r="O9" i="35" l="1"/>
  <c r="K5" i="35" l="1"/>
  <c r="H56" i="35" l="1"/>
  <c r="G56" i="35"/>
  <c r="F56" i="35"/>
  <c r="E56" i="35"/>
  <c r="D56" i="35"/>
  <c r="C56" i="35"/>
  <c r="B56" i="35"/>
  <c r="H55" i="35"/>
  <c r="G55" i="35"/>
  <c r="F55" i="35"/>
  <c r="E55" i="35"/>
  <c r="D55" i="35"/>
  <c r="C55" i="35"/>
  <c r="B55" i="35"/>
  <c r="H54" i="35"/>
  <c r="G54" i="35"/>
  <c r="F54" i="35"/>
  <c r="E54" i="35"/>
  <c r="D54" i="35"/>
  <c r="C54" i="35"/>
  <c r="B54" i="35"/>
  <c r="H33" i="35"/>
  <c r="G33" i="35"/>
  <c r="F33" i="35"/>
  <c r="E33" i="35"/>
  <c r="D33" i="35"/>
  <c r="C33" i="35"/>
  <c r="B33" i="35"/>
  <c r="H32" i="35"/>
  <c r="G32" i="35"/>
  <c r="F32" i="35"/>
  <c r="E32" i="35"/>
  <c r="D32" i="35"/>
  <c r="C32" i="35"/>
  <c r="B32" i="35"/>
  <c r="H31" i="35"/>
  <c r="G31" i="35"/>
  <c r="F31" i="35"/>
  <c r="E31" i="35"/>
  <c r="D31" i="35"/>
  <c r="C31" i="35"/>
  <c r="B31" i="35"/>
  <c r="M23" i="35"/>
  <c r="L23" i="35"/>
  <c r="K23" i="35"/>
  <c r="M22" i="35"/>
  <c r="L22" i="35"/>
  <c r="K22" i="35"/>
  <c r="H22" i="35"/>
  <c r="G22" i="35"/>
  <c r="F22" i="35"/>
  <c r="E22" i="35"/>
  <c r="D22" i="35"/>
  <c r="C22" i="35"/>
  <c r="B22" i="35"/>
  <c r="H21" i="35"/>
  <c r="G21" i="35"/>
  <c r="F21" i="35"/>
  <c r="E21" i="35"/>
  <c r="D21" i="35"/>
  <c r="C21" i="35"/>
  <c r="B21" i="35"/>
  <c r="H20" i="35"/>
  <c r="G20" i="35"/>
  <c r="F20" i="35"/>
  <c r="E20" i="35"/>
  <c r="D20" i="35"/>
  <c r="C20" i="35"/>
  <c r="B20" i="35"/>
  <c r="P9" i="35"/>
  <c r="P10" i="35" s="1"/>
  <c r="P11" i="35" s="1"/>
  <c r="P12" i="35" s="1"/>
  <c r="P13" i="35" s="1"/>
  <c r="P14" i="35" s="1"/>
  <c r="P15" i="35" s="1"/>
  <c r="P16" i="35" s="1"/>
  <c r="P17" i="35" s="1"/>
  <c r="L9" i="35"/>
  <c r="L5" i="35"/>
  <c r="H5" i="35"/>
  <c r="M9" i="35" s="1"/>
  <c r="G5" i="35"/>
  <c r="F5" i="35"/>
  <c r="E5" i="35"/>
  <c r="D5" i="35"/>
  <c r="C5" i="35"/>
  <c r="B5" i="35"/>
  <c r="K9" i="35" s="1"/>
  <c r="J26" i="35" l="1"/>
  <c r="J25" i="35"/>
  <c r="J24" i="35"/>
  <c r="X45" i="34"/>
  <c r="X44" i="34"/>
  <c r="X43" i="34"/>
  <c r="X42" i="34"/>
  <c r="X41" i="34"/>
  <c r="X40" i="34"/>
  <c r="X39" i="34"/>
  <c r="X38" i="34"/>
  <c r="T32" i="34"/>
  <c r="X37" i="34" s="1"/>
  <c r="M22" i="34"/>
  <c r="L17" i="35"/>
  <c r="L11" i="35"/>
  <c r="L21" i="35"/>
  <c r="L26" i="35"/>
  <c r="K16" i="35"/>
  <c r="K12" i="35"/>
  <c r="K14" i="35"/>
  <c r="K20" i="35"/>
  <c r="M10" i="35"/>
  <c r="M12" i="35"/>
  <c r="M21" i="35"/>
  <c r="M16" i="35"/>
  <c r="M18" i="35"/>
  <c r="K19" i="35"/>
  <c r="L16" i="35"/>
  <c r="M17" i="35"/>
  <c r="K11" i="35"/>
  <c r="K17" i="35"/>
  <c r="M14" i="35"/>
  <c r="K15" i="35"/>
  <c r="M24" i="35"/>
  <c r="L20" i="35"/>
  <c r="L19" i="35"/>
  <c r="M19" i="35"/>
  <c r="K13" i="35"/>
  <c r="M11" i="35"/>
  <c r="L18" i="35"/>
  <c r="M26" i="35"/>
  <c r="M13" i="35"/>
  <c r="K18" i="35"/>
  <c r="L13" i="35"/>
  <c r="L15" i="35"/>
  <c r="L10" i="35"/>
  <c r="K10" i="35"/>
  <c r="L14" i="35"/>
  <c r="K26" i="35"/>
  <c r="K25" i="35"/>
  <c r="L24" i="35"/>
  <c r="L12" i="35"/>
  <c r="M20" i="35"/>
  <c r="M15" i="35"/>
  <c r="K21" i="35"/>
  <c r="U32" i="34" l="1"/>
  <c r="M25" i="35"/>
  <c r="K24" i="35"/>
  <c r="L25" i="35"/>
  <c r="M11" i="37" l="1"/>
  <c r="M10" i="37"/>
  <c r="M11" i="34"/>
  <c r="M10" i="34"/>
  <c r="M12" i="37" l="1"/>
  <c r="M15" i="37" s="1"/>
  <c r="M12" i="34"/>
  <c r="M15" i="34" s="1"/>
  <c r="M17" i="34" s="1"/>
  <c r="S31" i="37"/>
  <c r="W38" i="37" l="1"/>
  <c r="S34" i="37"/>
  <c r="Y38" i="37" s="1"/>
  <c r="M17" i="37"/>
  <c r="Q31" i="34"/>
  <c r="O31" i="37"/>
  <c r="O31" i="34"/>
  <c r="M31" i="37"/>
  <c r="R31" i="37"/>
  <c r="P31" i="34"/>
  <c r="N31" i="34"/>
  <c r="Q31" i="37"/>
  <c r="P31" i="37"/>
  <c r="L31" i="34"/>
  <c r="N31" i="37"/>
  <c r="M31" i="34"/>
  <c r="R31" i="34"/>
  <c r="S31" i="34"/>
  <c r="L31" i="37"/>
  <c r="W43" i="37" l="1"/>
  <c r="N34" i="37"/>
  <c r="Y43" i="37" s="1"/>
  <c r="W41" i="37"/>
  <c r="P34" i="37"/>
  <c r="Y41" i="37" s="1"/>
  <c r="O34" i="37"/>
  <c r="Y42" i="37" s="1"/>
  <c r="W42" i="37"/>
  <c r="Q34" i="37"/>
  <c r="Y40" i="37" s="1"/>
  <c r="W40" i="37"/>
  <c r="L34" i="37"/>
  <c r="Y45" i="37" s="1"/>
  <c r="W45" i="37"/>
  <c r="W44" i="37"/>
  <c r="M34" i="37"/>
  <c r="Y44" i="37" s="1"/>
  <c r="W43" i="34"/>
  <c r="N34" i="34"/>
  <c r="Y43" i="34" s="1"/>
  <c r="T31" i="37"/>
  <c r="M18" i="37" s="1"/>
  <c r="W39" i="37"/>
  <c r="R34" i="37"/>
  <c r="Y39" i="37" s="1"/>
  <c r="W40" i="34"/>
  <c r="Q34" i="34"/>
  <c r="Y40" i="34" s="1"/>
  <c r="M34" i="34"/>
  <c r="Y44" i="34" s="1"/>
  <c r="W44" i="34"/>
  <c r="W39" i="34"/>
  <c r="R34" i="34"/>
  <c r="Y39" i="34" s="1"/>
  <c r="P34" i="34"/>
  <c r="Y41" i="34" s="1"/>
  <c r="W41" i="34"/>
  <c r="S34" i="34"/>
  <c r="Y38" i="34" s="1"/>
  <c r="W38" i="34"/>
  <c r="L34" i="34"/>
  <c r="Y45" i="34" s="1"/>
  <c r="W45" i="34"/>
  <c r="T31" i="34"/>
  <c r="M18" i="34" s="1"/>
  <c r="W42" i="34"/>
  <c r="O34" i="34"/>
  <c r="Y42" i="34" s="1"/>
  <c r="W37" i="37" l="1"/>
  <c r="T34" i="37"/>
  <c r="U31" i="37"/>
  <c r="U33" i="37" s="1"/>
  <c r="T33" i="37" s="1"/>
  <c r="M24" i="37" s="1"/>
  <c r="B19" i="20" s="1"/>
  <c r="T34" i="34"/>
  <c r="U31" i="34"/>
  <c r="U33" i="34" s="1"/>
  <c r="T33" i="34" s="1"/>
  <c r="Y37" i="34" s="1"/>
  <c r="W37" i="34"/>
  <c r="Y37" i="37" l="1"/>
  <c r="M24" i="34"/>
  <c r="B19" i="21" s="1"/>
  <c r="S33" i="28"/>
  <c r="S20" i="28"/>
  <c r="X40" i="29" l="1"/>
  <c r="X38" i="29"/>
  <c r="X37" i="29"/>
  <c r="X36" i="29"/>
  <c r="X35" i="29"/>
  <c r="X34" i="29"/>
  <c r="X33" i="29"/>
  <c r="X32" i="29"/>
  <c r="X31" i="29"/>
  <c r="X30" i="29"/>
  <c r="X29" i="29"/>
  <c r="X28" i="29"/>
  <c r="X27" i="29"/>
  <c r="X26" i="29"/>
  <c r="X25" i="29"/>
  <c r="X24" i="29"/>
  <c r="X23" i="29"/>
  <c r="X22" i="29"/>
  <c r="X21" i="29"/>
  <c r="X20" i="29"/>
  <c r="X19" i="29"/>
  <c r="X18" i="29"/>
  <c r="X17" i="29"/>
  <c r="X16" i="29"/>
  <c r="X15" i="29"/>
  <c r="X14" i="29"/>
  <c r="X13" i="29"/>
  <c r="X12" i="29"/>
  <c r="X11" i="29"/>
  <c r="X10" i="29"/>
  <c r="X9" i="29"/>
  <c r="X8" i="29"/>
  <c r="X7" i="29"/>
  <c r="X6" i="29"/>
  <c r="X5" i="29"/>
  <c r="X4" i="29"/>
  <c r="U3" i="29"/>
  <c r="G9" i="28" l="1"/>
  <c r="C33" i="17" l="1"/>
  <c r="X2" i="28" l="1"/>
  <c r="AI1" i="28" l="1"/>
  <c r="N49" i="28" l="1"/>
  <c r="O49" i="28"/>
  <c r="P49" i="28"/>
  <c r="Q49" i="28"/>
  <c r="R49" i="28"/>
  <c r="S49" i="28"/>
  <c r="T49" i="28"/>
  <c r="U49" i="28"/>
  <c r="M49" i="28"/>
  <c r="N48" i="28"/>
  <c r="O48" i="28"/>
  <c r="P48" i="28"/>
  <c r="Q48" i="28"/>
  <c r="R48" i="28"/>
  <c r="S48" i="28"/>
  <c r="T48" i="28"/>
  <c r="U48" i="28"/>
  <c r="M48" i="28"/>
  <c r="M34" i="28"/>
  <c r="N33" i="28"/>
  <c r="O33" i="28"/>
  <c r="P33" i="28"/>
  <c r="Q33" i="28"/>
  <c r="R33" i="28"/>
  <c r="T33" i="28"/>
  <c r="U33" i="28"/>
  <c r="M33" i="28"/>
  <c r="N31" i="28"/>
  <c r="O31" i="28"/>
  <c r="P31" i="28"/>
  <c r="Q31" i="28"/>
  <c r="R31" i="28"/>
  <c r="S31" i="28"/>
  <c r="T31" i="28"/>
  <c r="T34" i="28" s="1"/>
  <c r="U31" i="28"/>
  <c r="U34" i="28" s="1"/>
  <c r="M31" i="28"/>
  <c r="M24" i="28"/>
  <c r="M23" i="28"/>
  <c r="N20" i="28"/>
  <c r="O20" i="28"/>
  <c r="P20" i="28"/>
  <c r="Q20" i="28"/>
  <c r="R20" i="28"/>
  <c r="T20" i="28"/>
  <c r="U20" i="28"/>
  <c r="M20" i="28"/>
  <c r="S19" i="28"/>
  <c r="T19" i="28"/>
  <c r="U19" i="28"/>
  <c r="R18" i="28"/>
  <c r="S18" i="28"/>
  <c r="T18" i="28"/>
  <c r="M18" i="28"/>
  <c r="N17" i="28"/>
  <c r="O17" i="28"/>
  <c r="P17" i="28"/>
  <c r="Q17" i="28"/>
  <c r="R17" i="28"/>
  <c r="S17" i="28"/>
  <c r="T17" i="28"/>
  <c r="U17" i="28"/>
  <c r="M17" i="28"/>
  <c r="N14" i="28"/>
  <c r="O14" i="28"/>
  <c r="P14" i="28"/>
  <c r="Q14" i="28"/>
  <c r="R14" i="28"/>
  <c r="S14" i="28"/>
  <c r="T14" i="28"/>
  <c r="U14" i="28"/>
  <c r="M14" i="28"/>
  <c r="N12" i="28"/>
  <c r="N16" i="28" s="1"/>
  <c r="O12" i="28"/>
  <c r="O16" i="28" s="1"/>
  <c r="P12" i="28"/>
  <c r="P16" i="28" s="1"/>
  <c r="Q12" i="28"/>
  <c r="Q16" i="28" s="1"/>
  <c r="R12" i="28"/>
  <c r="R16" i="28" s="1"/>
  <c r="S12" i="28"/>
  <c r="S16" i="28" s="1"/>
  <c r="T12" i="28"/>
  <c r="U12" i="28"/>
  <c r="U16" i="28" s="1"/>
  <c r="M12" i="28"/>
  <c r="M16" i="28" s="1"/>
  <c r="T16" i="28" l="1"/>
  <c r="T22" i="28"/>
  <c r="Q34" i="28"/>
  <c r="P34" i="28"/>
  <c r="S34" i="28"/>
  <c r="R34" i="28"/>
  <c r="N34" i="28"/>
  <c r="O34" i="28"/>
  <c r="U22" i="28"/>
  <c r="Q22" i="28"/>
  <c r="P22" i="28"/>
  <c r="S22" i="28"/>
  <c r="O22" i="28"/>
  <c r="M22" i="28"/>
  <c r="R22" i="28"/>
  <c r="N22" i="28"/>
  <c r="U21" i="28"/>
  <c r="Q21" i="28"/>
  <c r="T21" i="28"/>
  <c r="P21" i="28"/>
  <c r="S21" i="28"/>
  <c r="O21" i="28"/>
  <c r="M21" i="28"/>
  <c r="R21" i="28"/>
  <c r="N21" i="28"/>
  <c r="T16" i="29" l="1"/>
  <c r="AR29" i="29" l="1"/>
  <c r="AR28" i="29"/>
  <c r="AR27" i="29"/>
  <c r="AR26" i="29"/>
  <c r="AR25" i="29"/>
  <c r="AR24" i="29"/>
  <c r="AR23" i="29"/>
  <c r="AR22" i="29"/>
  <c r="AR21" i="29"/>
  <c r="AR20" i="29"/>
  <c r="AR19" i="29"/>
  <c r="AR18" i="29"/>
  <c r="AR17" i="29"/>
  <c r="AR16" i="29"/>
  <c r="AR15" i="29"/>
  <c r="AR14" i="29"/>
  <c r="AR13" i="29"/>
  <c r="AR12" i="29"/>
  <c r="AR11" i="29"/>
  <c r="AR10" i="29"/>
  <c r="AR9" i="29"/>
  <c r="AR8" i="29"/>
  <c r="AR7" i="29"/>
  <c r="AR6" i="29"/>
  <c r="AR5" i="29"/>
  <c r="AR4" i="29"/>
  <c r="AO3" i="29"/>
  <c r="T5" i="29"/>
  <c r="AN20" i="29" l="1"/>
  <c r="AN18" i="29"/>
  <c r="AN5" i="29"/>
  <c r="AN6" i="29"/>
  <c r="AN7" i="29"/>
  <c r="AN8" i="29"/>
  <c r="AN9" i="29"/>
  <c r="AN10" i="29"/>
  <c r="AN11" i="29"/>
  <c r="AN12" i="29"/>
  <c r="AN13" i="29"/>
  <c r="AN14" i="29"/>
  <c r="AN4" i="29"/>
  <c r="AK3" i="29"/>
  <c r="AJ5" i="29"/>
  <c r="AJ6" i="29"/>
  <c r="AJ7" i="29"/>
  <c r="AJ8" i="29"/>
  <c r="AJ9" i="29"/>
  <c r="AJ10" i="29"/>
  <c r="AJ11" i="29"/>
  <c r="AJ12" i="29"/>
  <c r="AJ13" i="29"/>
  <c r="AJ14" i="29"/>
  <c r="AJ4" i="29"/>
  <c r="AG3" i="29"/>
  <c r="AF21" i="29"/>
  <c r="AF22" i="29"/>
  <c r="AF23" i="29"/>
  <c r="AF24" i="29"/>
  <c r="AF25" i="29"/>
  <c r="AF26" i="29"/>
  <c r="AF27" i="29"/>
  <c r="AF28" i="29"/>
  <c r="AF29" i="29"/>
  <c r="AF30" i="29"/>
  <c r="AF31" i="29"/>
  <c r="AF32" i="29"/>
  <c r="AF33" i="29"/>
  <c r="AF34" i="29"/>
  <c r="AF35" i="29"/>
  <c r="AF36" i="29"/>
  <c r="AF37" i="29"/>
  <c r="AF38" i="29"/>
  <c r="AF39" i="29"/>
  <c r="AF40" i="29"/>
  <c r="AF41" i="29"/>
  <c r="AF42" i="29"/>
  <c r="AF43" i="29"/>
  <c r="AF44" i="29"/>
  <c r="AF45" i="29"/>
  <c r="AF46" i="29"/>
  <c r="AF47" i="29"/>
  <c r="AF48" i="29"/>
  <c r="AF49" i="29"/>
  <c r="AF50" i="29"/>
  <c r="AF51" i="29"/>
  <c r="AF52" i="29"/>
  <c r="AF53" i="29"/>
  <c r="AF54" i="29"/>
  <c r="AF55" i="29"/>
  <c r="AF56" i="29"/>
  <c r="AF57" i="29"/>
  <c r="AF58" i="29"/>
  <c r="AF59" i="29"/>
  <c r="AF60" i="29"/>
  <c r="AF61" i="29"/>
  <c r="AF62" i="29"/>
  <c r="AF63" i="29"/>
  <c r="AF64" i="29"/>
  <c r="AF20" i="29"/>
  <c r="AF5" i="29"/>
  <c r="AF6" i="29"/>
  <c r="AF7" i="29"/>
  <c r="AF8" i="29"/>
  <c r="AF9" i="29"/>
  <c r="AF10" i="29"/>
  <c r="AF11" i="29"/>
  <c r="AF12" i="29"/>
  <c r="AF4" i="29"/>
  <c r="AC3" i="29"/>
  <c r="AB40" i="29"/>
  <c r="AB5" i="29"/>
  <c r="AB6" i="29"/>
  <c r="AB7" i="29"/>
  <c r="AB8" i="29"/>
  <c r="AB9" i="29"/>
  <c r="AB10" i="29"/>
  <c r="AB11" i="29"/>
  <c r="AB12" i="29"/>
  <c r="AB13" i="29"/>
  <c r="AB14" i="29"/>
  <c r="AB15" i="29"/>
  <c r="AB16" i="29"/>
  <c r="AB17" i="29"/>
  <c r="AB18" i="29"/>
  <c r="AB19" i="29"/>
  <c r="AB20" i="29"/>
  <c r="AB21" i="29"/>
  <c r="AB22" i="29"/>
  <c r="AB23" i="29"/>
  <c r="AB24" i="29"/>
  <c r="AB25" i="29"/>
  <c r="AB26" i="29"/>
  <c r="AB27" i="29"/>
  <c r="AB28" i="29"/>
  <c r="AB29" i="29"/>
  <c r="AB30" i="29"/>
  <c r="AB31" i="29"/>
  <c r="AB32" i="29"/>
  <c r="AB33" i="29"/>
  <c r="AB34" i="29"/>
  <c r="AB35" i="29"/>
  <c r="AB36" i="29"/>
  <c r="AB37" i="29"/>
  <c r="AB38" i="29"/>
  <c r="AB4" i="29"/>
  <c r="Y3" i="29"/>
  <c r="T6" i="29"/>
  <c r="T7" i="29"/>
  <c r="T8" i="29"/>
  <c r="T9" i="29"/>
  <c r="T10" i="29"/>
  <c r="T11" i="29"/>
  <c r="T12" i="29"/>
  <c r="T13" i="29"/>
  <c r="T14" i="29"/>
  <c r="T15" i="29"/>
  <c r="T17" i="29"/>
  <c r="T18" i="29"/>
  <c r="T19" i="29"/>
  <c r="T20" i="29"/>
  <c r="T21" i="29"/>
  <c r="T22" i="29"/>
  <c r="T23" i="29"/>
  <c r="T24" i="29"/>
  <c r="T25" i="29"/>
  <c r="T26" i="29"/>
  <c r="T27" i="29"/>
  <c r="T28" i="29"/>
  <c r="T29" i="29"/>
  <c r="T30" i="29"/>
  <c r="T4" i="29"/>
  <c r="Q3" i="29"/>
  <c r="P5" i="29"/>
  <c r="P6" i="29"/>
  <c r="P7" i="29"/>
  <c r="P8" i="29"/>
  <c r="P9" i="29"/>
  <c r="P10" i="29"/>
  <c r="P11" i="29"/>
  <c r="P12" i="29"/>
  <c r="P13" i="29"/>
  <c r="P14" i="29"/>
  <c r="P15" i="29"/>
  <c r="P16" i="29"/>
  <c r="P17" i="29"/>
  <c r="P18" i="29"/>
  <c r="P19" i="29"/>
  <c r="P20" i="29"/>
  <c r="P21" i="29"/>
  <c r="P22" i="29"/>
  <c r="P23" i="29"/>
  <c r="P24" i="29"/>
  <c r="P25" i="29"/>
  <c r="P26" i="29"/>
  <c r="P27" i="29"/>
  <c r="P28" i="29"/>
  <c r="P29" i="29"/>
  <c r="P4" i="29"/>
  <c r="M3" i="29"/>
  <c r="L5" i="29"/>
  <c r="L6" i="29"/>
  <c r="L7" i="29"/>
  <c r="L8" i="29"/>
  <c r="L9" i="29"/>
  <c r="L10" i="29"/>
  <c r="L11" i="29"/>
  <c r="L12" i="29"/>
  <c r="L13" i="29"/>
  <c r="L14" i="29"/>
  <c r="L15" i="29"/>
  <c r="L16" i="29"/>
  <c r="L17" i="29"/>
  <c r="L18" i="29"/>
  <c r="L19" i="29"/>
  <c r="L20" i="29"/>
  <c r="L21" i="29"/>
  <c r="L22" i="29"/>
  <c r="L23" i="29"/>
  <c r="L24" i="29"/>
  <c r="L25" i="29"/>
  <c r="L26" i="29"/>
  <c r="L27" i="29"/>
  <c r="L4" i="29"/>
  <c r="I3" i="29"/>
  <c r="H5" i="29"/>
  <c r="H6" i="29"/>
  <c r="H7" i="29"/>
  <c r="H8" i="29"/>
  <c r="H9" i="29"/>
  <c r="H10" i="29"/>
  <c r="H11" i="29"/>
  <c r="H12" i="29"/>
  <c r="H13" i="29"/>
  <c r="H14" i="29"/>
  <c r="H15" i="29"/>
  <c r="H16" i="29"/>
  <c r="H17" i="29"/>
  <c r="H18" i="29"/>
  <c r="H19" i="29"/>
  <c r="H20" i="29"/>
  <c r="H21" i="29"/>
  <c r="H22" i="29"/>
  <c r="H23" i="29"/>
  <c r="H4" i="29"/>
  <c r="E3" i="29"/>
  <c r="D5" i="29" l="1"/>
  <c r="D6" i="29"/>
  <c r="D7" i="29"/>
  <c r="D8" i="29"/>
  <c r="D9" i="29"/>
  <c r="D10" i="29"/>
  <c r="D11" i="29"/>
  <c r="D12" i="29"/>
  <c r="D13" i="29"/>
  <c r="D14" i="29"/>
  <c r="D15" i="29"/>
  <c r="D16" i="29"/>
  <c r="D17" i="29"/>
  <c r="D18" i="29"/>
  <c r="D19" i="29"/>
  <c r="D4" i="29"/>
  <c r="A3" i="29"/>
  <c r="G27" i="13" l="1"/>
  <c r="F27" i="13"/>
  <c r="G23" i="13"/>
  <c r="F23" i="13"/>
  <c r="E23" i="13"/>
  <c r="E27" i="13"/>
  <c r="S25" i="28" l="1"/>
  <c r="T25" i="28"/>
  <c r="U25" i="28"/>
  <c r="S23" i="28"/>
  <c r="T13" i="28"/>
  <c r="U13" i="28" s="1"/>
  <c r="U24" i="28"/>
  <c r="U23" i="28"/>
  <c r="T23" i="28"/>
  <c r="T24" i="28"/>
  <c r="S24" i="28"/>
  <c r="C27" i="28"/>
  <c r="U35" i="28"/>
  <c r="T44" i="28"/>
  <c r="S43" i="28"/>
  <c r="S45" i="28" s="1"/>
  <c r="Q44" i="28"/>
  <c r="P32" i="28"/>
  <c r="Y18" i="28"/>
  <c r="N18" i="28" s="1"/>
  <c r="L47" i="28"/>
  <c r="L48" i="28" s="1"/>
  <c r="L49" i="28" s="1"/>
  <c r="L45" i="28"/>
  <c r="L44" i="28"/>
  <c r="L43" i="28"/>
  <c r="L42" i="28"/>
  <c r="L35" i="28"/>
  <c r="L34" i="28"/>
  <c r="L25" i="28"/>
  <c r="L20" i="28"/>
  <c r="L19" i="28"/>
  <c r="AU10" i="28"/>
  <c r="AU9" i="28"/>
  <c r="O9" i="28"/>
  <c r="A8" i="28"/>
  <c r="A9" i="28" s="1"/>
  <c r="A10" i="28" s="1"/>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Q4" i="28"/>
  <c r="AK1" i="28"/>
  <c r="AJ1" i="28"/>
  <c r="M46" i="28" s="1"/>
  <c r="M35" i="28"/>
  <c r="P19" i="28" l="1"/>
  <c r="P43" i="28" s="1"/>
  <c r="P45" i="28" s="1"/>
  <c r="N19" i="28"/>
  <c r="N43" i="28" s="1"/>
  <c r="N45" i="28" s="1"/>
  <c r="Q19" i="28"/>
  <c r="Q43" i="28" s="1"/>
  <c r="Q45" i="28" s="1"/>
  <c r="R19" i="28"/>
  <c r="R43" i="28" s="1"/>
  <c r="R45" i="28" s="1"/>
  <c r="M19" i="28"/>
  <c r="M41" i="28" s="1"/>
  <c r="O19" i="28"/>
  <c r="O43" i="28" s="1"/>
  <c r="O45" i="28" s="1"/>
  <c r="T41" i="28"/>
  <c r="T42" i="28" s="1"/>
  <c r="M47" i="28"/>
  <c r="S47" i="28" s="1"/>
  <c r="U41" i="28"/>
  <c r="T47" i="28"/>
  <c r="R30" i="28"/>
  <c r="P23" i="28"/>
  <c r="T30" i="28"/>
  <c r="T32" i="28"/>
  <c r="T40" i="28"/>
  <c r="T39" i="28"/>
  <c r="Q32" i="28"/>
  <c r="U30" i="28"/>
  <c r="S32" i="28"/>
  <c r="S41" i="28"/>
  <c r="S42" i="28" s="1"/>
  <c r="U44" i="28"/>
  <c r="S30" i="28"/>
  <c r="U40" i="28"/>
  <c r="S46" i="28"/>
  <c r="S35" i="28"/>
  <c r="U39" i="28"/>
  <c r="T46" i="28"/>
  <c r="U47" i="28"/>
  <c r="U32" i="28"/>
  <c r="S40" i="28"/>
  <c r="T35" i="28"/>
  <c r="S44" i="28"/>
  <c r="U46" i="28"/>
  <c r="S39" i="28"/>
  <c r="M30" i="28"/>
  <c r="Q30" i="28"/>
  <c r="N44" i="28"/>
  <c r="N25" i="28"/>
  <c r="N24" i="28"/>
  <c r="R25" i="28"/>
  <c r="R32" i="28"/>
  <c r="N35" i="28"/>
  <c r="R44" i="28"/>
  <c r="R24" i="28"/>
  <c r="N40" i="28"/>
  <c r="R35" i="28"/>
  <c r="Q23" i="28"/>
  <c r="N30" i="28"/>
  <c r="N32" i="28"/>
  <c r="R40" i="28"/>
  <c r="M36" i="28"/>
  <c r="O39" i="28"/>
  <c r="N13" i="28"/>
  <c r="O13" i="28" s="1"/>
  <c r="P13" i="28" s="1"/>
  <c r="Q13" i="28" s="1"/>
  <c r="R13" i="28" s="1"/>
  <c r="S13" i="28" s="1"/>
  <c r="Z18" i="28"/>
  <c r="O18" i="28" s="1"/>
  <c r="N23" i="28"/>
  <c r="R23" i="28"/>
  <c r="O24" i="28"/>
  <c r="O25" i="28"/>
  <c r="O30" i="28"/>
  <c r="O40" i="28"/>
  <c r="O35" i="28"/>
  <c r="P39" i="28"/>
  <c r="M40" i="28"/>
  <c r="O44" i="28"/>
  <c r="P46" i="28"/>
  <c r="N15" i="28"/>
  <c r="O15" i="28" s="1"/>
  <c r="P15" i="28" s="1"/>
  <c r="Q15" i="28" s="1"/>
  <c r="R15" i="28" s="1"/>
  <c r="S15" i="28" s="1"/>
  <c r="T15" i="28" s="1"/>
  <c r="U15" i="28" s="1"/>
  <c r="O23" i="28"/>
  <c r="P24" i="28"/>
  <c r="P25" i="28"/>
  <c r="P30" i="28"/>
  <c r="O32" i="28"/>
  <c r="P40" i="28"/>
  <c r="P35" i="28"/>
  <c r="Q39" i="28"/>
  <c r="P44" i="28"/>
  <c r="Q46" i="28"/>
  <c r="O46" i="28"/>
  <c r="Q24" i="28"/>
  <c r="Q25" i="28"/>
  <c r="Q40" i="28"/>
  <c r="Q35" i="28"/>
  <c r="N39" i="28"/>
  <c r="R39" i="28"/>
  <c r="N46" i="28"/>
  <c r="R46" i="28"/>
  <c r="P41" i="28" l="1"/>
  <c r="P42" i="28" s="1"/>
  <c r="N47" i="28"/>
  <c r="O47" i="28"/>
  <c r="R47" i="28"/>
  <c r="Q47" i="28"/>
  <c r="P47" i="28"/>
  <c r="U43" i="28"/>
  <c r="U45" i="28" s="1"/>
  <c r="T43" i="28"/>
  <c r="T45" i="28" s="1"/>
  <c r="U42" i="28"/>
  <c r="Q41" i="28"/>
  <c r="Q42" i="28" s="1"/>
  <c r="U36" i="28"/>
  <c r="T36" i="28"/>
  <c r="S36" i="28"/>
  <c r="M42" i="28"/>
  <c r="AA18" i="28"/>
  <c r="P18" i="28" s="1"/>
  <c r="R41" i="28"/>
  <c r="R42" i="28" s="1"/>
  <c r="N41" i="28"/>
  <c r="N42" i="28" s="1"/>
  <c r="M43" i="28"/>
  <c r="M45" i="28" s="1"/>
  <c r="O41" i="28"/>
  <c r="O42" i="28" s="1"/>
  <c r="P36" i="28"/>
  <c r="O36" i="28"/>
  <c r="N36" i="28"/>
  <c r="Q36" i="28"/>
  <c r="M25" i="28"/>
  <c r="R36" i="28"/>
  <c r="AB18" i="28" l="1"/>
  <c r="Q18" i="28" s="1"/>
  <c r="AF18" i="28" l="1"/>
  <c r="U18" i="28" s="1"/>
  <c r="I202" i="17" l="1"/>
  <c r="I201" i="17"/>
  <c r="I200" i="17"/>
  <c r="G148" i="13" l="1"/>
  <c r="G149" i="13" s="1"/>
  <c r="F148" i="13"/>
  <c r="F149" i="13" s="1"/>
  <c r="E148" i="13"/>
  <c r="E149" i="13" s="1"/>
  <c r="E234" i="17"/>
  <c r="F234" i="17"/>
  <c r="G234" i="17"/>
  <c r="E235" i="17"/>
  <c r="F235" i="17"/>
  <c r="G235" i="17"/>
  <c r="E236" i="17"/>
  <c r="F236" i="17"/>
  <c r="G236" i="17"/>
  <c r="E237" i="17"/>
  <c r="F237" i="17"/>
  <c r="G237" i="17"/>
  <c r="E238" i="17"/>
  <c r="F238" i="17"/>
  <c r="G238" i="17"/>
  <c r="E239" i="17"/>
  <c r="F239" i="17"/>
  <c r="G239" i="17"/>
  <c r="E240" i="17"/>
  <c r="F240" i="17"/>
  <c r="G240" i="17"/>
  <c r="E241" i="17"/>
  <c r="F241" i="17"/>
  <c r="G241" i="17"/>
  <c r="E242" i="17"/>
  <c r="F242" i="17"/>
  <c r="G242" i="17"/>
  <c r="E243" i="17"/>
  <c r="F243" i="17"/>
  <c r="G243" i="17"/>
  <c r="E244" i="17"/>
  <c r="F244" i="17"/>
  <c r="G244" i="17"/>
  <c r="E245" i="17"/>
  <c r="F245" i="17"/>
  <c r="G245" i="17"/>
  <c r="E246" i="17"/>
  <c r="F246" i="17"/>
  <c r="G246" i="17"/>
  <c r="E247" i="17"/>
  <c r="F247" i="17"/>
  <c r="G247" i="17"/>
  <c r="E248" i="17"/>
  <c r="F248" i="17"/>
  <c r="G248" i="17"/>
  <c r="E249" i="17"/>
  <c r="F249" i="17"/>
  <c r="G249" i="17"/>
  <c r="E250" i="17"/>
  <c r="F250" i="17"/>
  <c r="G250" i="17"/>
  <c r="E251" i="17"/>
  <c r="F251" i="17"/>
  <c r="G251" i="17"/>
  <c r="E252" i="17"/>
  <c r="F252" i="17"/>
  <c r="G252" i="17"/>
  <c r="E253" i="17"/>
  <c r="F253" i="17"/>
  <c r="G253" i="17"/>
  <c r="E254" i="17"/>
  <c r="F254" i="17"/>
  <c r="G254" i="17"/>
  <c r="E255" i="17"/>
  <c r="F255" i="17"/>
  <c r="G255" i="17"/>
  <c r="E256" i="17"/>
  <c r="F256" i="17"/>
  <c r="G256" i="17"/>
  <c r="E257" i="17"/>
  <c r="F257" i="17"/>
  <c r="G257" i="17"/>
  <c r="E258" i="17"/>
  <c r="F258" i="17"/>
  <c r="G258" i="17"/>
  <c r="E259" i="17"/>
  <c r="F259" i="17"/>
  <c r="G259" i="17"/>
  <c r="E260" i="17"/>
  <c r="F260" i="17"/>
  <c r="G260" i="17"/>
  <c r="E261" i="17"/>
  <c r="F261" i="17"/>
  <c r="G261" i="17"/>
  <c r="E262" i="17"/>
  <c r="F262" i="17"/>
  <c r="G262" i="17"/>
  <c r="E263" i="17"/>
  <c r="F263" i="17"/>
  <c r="G263" i="17"/>
  <c r="E264" i="17"/>
  <c r="F264" i="17"/>
  <c r="G264" i="17"/>
  <c r="E265" i="17"/>
  <c r="F265" i="17"/>
  <c r="G265" i="17"/>
  <c r="E266" i="17"/>
  <c r="F266" i="17"/>
  <c r="G266" i="17"/>
  <c r="E267" i="17"/>
  <c r="F267" i="17"/>
  <c r="G267" i="17"/>
  <c r="E268" i="17"/>
  <c r="F268" i="17"/>
  <c r="G268" i="17"/>
  <c r="E269" i="17"/>
  <c r="F269" i="17"/>
  <c r="G269" i="17"/>
  <c r="E270" i="17"/>
  <c r="F270" i="17"/>
  <c r="G270" i="17"/>
  <c r="E271" i="17"/>
  <c r="F271" i="17"/>
  <c r="G271" i="17"/>
  <c r="E272" i="17"/>
  <c r="F272" i="17"/>
  <c r="G272" i="17"/>
  <c r="E273" i="17"/>
  <c r="F273" i="17"/>
  <c r="G273" i="17"/>
  <c r="E274" i="17"/>
  <c r="F274" i="17"/>
  <c r="G274" i="17"/>
  <c r="E275" i="17"/>
  <c r="F275" i="17"/>
  <c r="G275" i="17"/>
  <c r="E276" i="17"/>
  <c r="F276" i="17"/>
  <c r="G276" i="17"/>
  <c r="E277" i="17"/>
  <c r="F277" i="17"/>
  <c r="G277" i="17"/>
  <c r="E278" i="17"/>
  <c r="F278" i="17"/>
  <c r="G278" i="17"/>
  <c r="E279" i="17"/>
  <c r="F279" i="17"/>
  <c r="G279" i="17"/>
  <c r="E280" i="17"/>
  <c r="F280" i="17"/>
  <c r="G280" i="17"/>
  <c r="E281" i="17"/>
  <c r="F281" i="17"/>
  <c r="G281" i="17"/>
  <c r="E282" i="17"/>
  <c r="F282" i="17"/>
  <c r="G282" i="17"/>
  <c r="E283" i="17"/>
  <c r="F283" i="17"/>
  <c r="G283" i="17"/>
  <c r="E284" i="17"/>
  <c r="F284" i="17"/>
  <c r="G284" i="17"/>
  <c r="E285" i="17"/>
  <c r="F285" i="17"/>
  <c r="G285" i="17"/>
  <c r="E286" i="17"/>
  <c r="F286" i="17"/>
  <c r="G286" i="17"/>
  <c r="E287" i="17"/>
  <c r="F287" i="17"/>
  <c r="G287" i="17"/>
  <c r="E288" i="17"/>
  <c r="F288" i="17"/>
  <c r="G288" i="17"/>
  <c r="E289" i="17"/>
  <c r="F289" i="17"/>
  <c r="G289" i="17"/>
  <c r="E290" i="17"/>
  <c r="F290" i="17"/>
  <c r="G290" i="17"/>
  <c r="E291" i="17"/>
  <c r="F291" i="17"/>
  <c r="G291" i="17"/>
  <c r="E292" i="17"/>
  <c r="F292" i="17"/>
  <c r="G292" i="17"/>
  <c r="E293" i="17"/>
  <c r="F293" i="17"/>
  <c r="G293" i="17"/>
  <c r="E294" i="17"/>
  <c r="F294" i="17"/>
  <c r="G294" i="17"/>
  <c r="E295" i="17"/>
  <c r="F295" i="17"/>
  <c r="G295" i="17"/>
  <c r="E296" i="17"/>
  <c r="F296" i="17"/>
  <c r="G296" i="17"/>
  <c r="E297" i="17"/>
  <c r="F297" i="17"/>
  <c r="G297" i="17"/>
  <c r="E298" i="17"/>
  <c r="F298" i="17"/>
  <c r="G298" i="17"/>
  <c r="E299" i="17"/>
  <c r="F299" i="17"/>
  <c r="G299" i="17"/>
  <c r="E300" i="17"/>
  <c r="F300" i="17"/>
  <c r="G300" i="17"/>
  <c r="E301" i="17"/>
  <c r="F301" i="17"/>
  <c r="G301" i="17"/>
  <c r="E302" i="17"/>
  <c r="F302" i="17"/>
  <c r="G302" i="17"/>
  <c r="G202" i="17" l="1"/>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F202" i="17"/>
  <c r="F203" i="17"/>
  <c r="F204" i="17"/>
  <c r="F205" i="17"/>
  <c r="F206" i="17"/>
  <c r="F207" i="17"/>
  <c r="F208" i="17"/>
  <c r="F209" i="17"/>
  <c r="F210" i="17"/>
  <c r="F211" i="17"/>
  <c r="F212" i="17"/>
  <c r="F213" i="17"/>
  <c r="F214" i="17"/>
  <c r="F215" i="17"/>
  <c r="F216" i="17"/>
  <c r="F217" i="17"/>
  <c r="F218" i="17"/>
  <c r="F219" i="17"/>
  <c r="F220" i="17"/>
  <c r="F221" i="17"/>
  <c r="F222" i="17"/>
  <c r="F223" i="17"/>
  <c r="F224" i="17"/>
  <c r="F225" i="17"/>
  <c r="F226" i="17"/>
  <c r="F227" i="17"/>
  <c r="F228" i="17"/>
  <c r="F229" i="17"/>
  <c r="F230" i="17"/>
  <c r="F231" i="17"/>
  <c r="F232" i="17"/>
  <c r="F233"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58" i="17" l="1"/>
  <c r="E59" i="17"/>
  <c r="E57" i="17"/>
  <c r="E55" i="17"/>
  <c r="E56" i="17"/>
  <c r="E54" i="17"/>
  <c r="E52" i="17"/>
  <c r="E53" i="17"/>
  <c r="E51" i="17"/>
  <c r="E49" i="17"/>
  <c r="E50" i="17"/>
  <c r="E48" i="17"/>
  <c r="E46" i="17"/>
  <c r="E47" i="17"/>
  <c r="E45" i="17"/>
  <c r="E43" i="17"/>
  <c r="E44" i="17"/>
  <c r="E42" i="17"/>
  <c r="E40" i="17"/>
  <c r="E41" i="17"/>
  <c r="E39" i="17"/>
  <c r="E37" i="17"/>
  <c r="E38" i="17"/>
  <c r="E36" i="17"/>
  <c r="G201" i="17"/>
  <c r="C31" i="17" l="1"/>
  <c r="G33" i="13" l="1"/>
  <c r="C29" i="17" s="1"/>
  <c r="G30" i="13"/>
  <c r="C27" i="17" s="1"/>
  <c r="C25" i="17"/>
  <c r="C23" i="17"/>
  <c r="G19" i="13"/>
  <c r="C21" i="17" s="1"/>
  <c r="F33" i="13" l="1"/>
  <c r="F30" i="13"/>
  <c r="E33" i="13"/>
  <c r="E30" i="13"/>
  <c r="G39" i="13"/>
  <c r="D5" i="20" l="1"/>
  <c r="K3" i="20"/>
  <c r="F3" i="20"/>
  <c r="D3" i="20"/>
  <c r="C3" i="20"/>
  <c r="M2" i="20"/>
  <c r="K2" i="20"/>
  <c r="M2" i="21"/>
  <c r="K2" i="21"/>
  <c r="F3" i="21"/>
  <c r="D3" i="21"/>
  <c r="C3" i="21"/>
  <c r="K3" i="21"/>
  <c r="D5" i="21"/>
  <c r="D8" i="21"/>
  <c r="D6" i="21"/>
  <c r="A31" i="17" l="1"/>
  <c r="B31" i="17"/>
  <c r="A33" i="17"/>
  <c r="B33" i="17"/>
  <c r="C36" i="17"/>
  <c r="D36" i="17"/>
  <c r="C37" i="17"/>
  <c r="D37" i="17"/>
  <c r="C38" i="17"/>
  <c r="D38" i="17"/>
  <c r="C39" i="17"/>
  <c r="D39" i="17"/>
  <c r="C40" i="17"/>
  <c r="D40" i="17"/>
  <c r="C41" i="17"/>
  <c r="D41" i="17"/>
  <c r="C42" i="17"/>
  <c r="D42" i="17"/>
  <c r="C43" i="17"/>
  <c r="D43" i="17"/>
  <c r="C44" i="17"/>
  <c r="D44" i="17"/>
  <c r="C45" i="17"/>
  <c r="D45" i="17"/>
  <c r="C46" i="17"/>
  <c r="D46" i="17"/>
  <c r="C47" i="17"/>
  <c r="D47" i="17"/>
  <c r="C48" i="17"/>
  <c r="D48" i="17"/>
  <c r="C49" i="17"/>
  <c r="D49" i="17"/>
  <c r="C50" i="17"/>
  <c r="D50" i="17"/>
  <c r="C51" i="17"/>
  <c r="D51" i="17"/>
  <c r="C52" i="17"/>
  <c r="D52" i="17"/>
  <c r="C53" i="17"/>
  <c r="D53" i="17"/>
  <c r="C54" i="17"/>
  <c r="D54" i="17"/>
  <c r="C55" i="17"/>
  <c r="D55" i="17"/>
  <c r="C56" i="17"/>
  <c r="D56" i="17"/>
  <c r="C57" i="17"/>
  <c r="D57" i="17"/>
  <c r="C58" i="17"/>
  <c r="D58" i="17"/>
  <c r="C59" i="17"/>
  <c r="D59" i="17"/>
  <c r="E201" i="17"/>
  <c r="F201" i="17"/>
  <c r="A23" i="17"/>
  <c r="B23" i="17"/>
  <c r="A25" i="17"/>
  <c r="B25" i="17"/>
  <c r="A27" i="17"/>
  <c r="B27" i="17"/>
  <c r="A29" i="17"/>
  <c r="B29" i="17"/>
  <c r="F19" i="13"/>
  <c r="Y184" i="13"/>
  <c r="Y185" i="13" s="1"/>
  <c r="Y186" i="13"/>
  <c r="Z186" i="13"/>
  <c r="D6" i="20"/>
  <c r="D8" i="20"/>
  <c r="E19" i="13" l="1"/>
  <c r="A21" i="17" s="1"/>
  <c r="B21"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Fabrizio Larucci</author>
  </authors>
  <commentList>
    <comment ref="M16" authorId="0" shapeId="0" xr:uid="{00000000-0006-0000-0800-000001000000}">
      <text>
        <r>
          <rPr>
            <b/>
            <sz val="10"/>
            <color indexed="81"/>
            <rFont val="Tahoma"/>
            <family val="2"/>
          </rPr>
          <t xml:space="preserve">INSERT FIGURE FROM TABLE 1
ON THE LEFT
</t>
        </r>
      </text>
    </comment>
    <comment ref="M17" authorId="0" shapeId="0" xr:uid="{00000000-0006-0000-0800-000002000000}">
      <text>
        <r>
          <rPr>
            <b/>
            <sz val="10"/>
            <color indexed="81"/>
            <rFont val="Tahoma"/>
            <family val="2"/>
          </rPr>
          <t>CHECK THIS VALUE WITH TABLE BELOW</t>
        </r>
        <r>
          <rPr>
            <sz val="10"/>
            <color indexed="81"/>
            <rFont val="Tahoma"/>
            <family val="2"/>
          </rPr>
          <t xml:space="preserve">
</t>
        </r>
      </text>
    </comment>
    <comment ref="K22" authorId="0" shapeId="0" xr:uid="{00000000-0006-0000-0800-000003000000}">
      <text>
        <r>
          <rPr>
            <b/>
            <sz val="10"/>
            <color indexed="81"/>
            <rFont val="Tahoma"/>
            <family val="2"/>
          </rPr>
          <t>LOADED VALUE=
UNLOADED VALUE+3 dBA</t>
        </r>
        <r>
          <rPr>
            <sz val="10"/>
            <color indexed="81"/>
            <rFont val="Tahoma"/>
            <family val="2"/>
          </rPr>
          <t xml:space="preserve">
</t>
        </r>
      </text>
    </comment>
    <comment ref="M22" authorId="0" shapeId="0" xr:uid="{00000000-0006-0000-0800-000004000000}">
      <text>
        <r>
          <rPr>
            <b/>
            <sz val="10"/>
            <color indexed="81"/>
            <rFont val="Tahoma"/>
            <family val="2"/>
          </rPr>
          <t>IF MOTOR SPECTRUM IS INSERTED, THIS VALUE IS SUPERCEDED.</t>
        </r>
        <r>
          <rPr>
            <sz val="10"/>
            <color indexed="81"/>
            <rFont val="Tahoma"/>
            <family val="2"/>
          </rPr>
          <t xml:space="preserve">
</t>
        </r>
      </text>
    </comment>
    <comment ref="K32" authorId="0" shapeId="0" xr:uid="{00000000-0006-0000-0800-000005000000}">
      <text>
        <r>
          <rPr>
            <b/>
            <sz val="10"/>
            <color indexed="81"/>
            <rFont val="Tahoma"/>
            <family val="2"/>
          </rPr>
          <t>INSERT MOTOR SPECTRUM IF ANY, OTHERWISE DELETE ALL GREEN CELLS.
VALUE SHALL BE TAKEN FROM CELL E22</t>
        </r>
        <r>
          <rPr>
            <sz val="10"/>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Fabrizio Larucci</author>
  </authors>
  <commentList>
    <comment ref="M16" authorId="0" shapeId="0" xr:uid="{00000000-0006-0000-0900-000001000000}">
      <text>
        <r>
          <rPr>
            <b/>
            <sz val="10"/>
            <color indexed="81"/>
            <rFont val="Tahoma"/>
            <family val="2"/>
          </rPr>
          <t xml:space="preserve">INSERT FIGURE FROM TABLE 1
ON THE LEFT
</t>
        </r>
      </text>
    </comment>
    <comment ref="M17" authorId="0" shapeId="0" xr:uid="{00000000-0006-0000-0900-000002000000}">
      <text>
        <r>
          <rPr>
            <b/>
            <sz val="10"/>
            <color indexed="81"/>
            <rFont val="Tahoma"/>
            <family val="2"/>
          </rPr>
          <t>CHECK THIS VALUE WITH TABLE BELOW</t>
        </r>
        <r>
          <rPr>
            <sz val="10"/>
            <color indexed="81"/>
            <rFont val="Tahoma"/>
            <family val="2"/>
          </rPr>
          <t xml:space="preserve">
</t>
        </r>
      </text>
    </comment>
    <comment ref="K22" authorId="0" shapeId="0" xr:uid="{00000000-0006-0000-0900-000003000000}">
      <text>
        <r>
          <rPr>
            <b/>
            <sz val="10"/>
            <color indexed="81"/>
            <rFont val="Tahoma"/>
            <family val="2"/>
          </rPr>
          <t>LOADED VALUE=
UNLOADED VALUE+3 dBA</t>
        </r>
        <r>
          <rPr>
            <sz val="10"/>
            <color indexed="81"/>
            <rFont val="Tahoma"/>
            <family val="2"/>
          </rPr>
          <t xml:space="preserve">
</t>
        </r>
      </text>
    </comment>
    <comment ref="M22" authorId="0" shapeId="0" xr:uid="{00000000-0006-0000-0900-000004000000}">
      <text>
        <r>
          <rPr>
            <b/>
            <sz val="10"/>
            <color indexed="81"/>
            <rFont val="Tahoma"/>
            <family val="2"/>
          </rPr>
          <t>IF MOTOR SPECTRUM IS INSERTED, THIS VALUE IS SUPERCEDED.</t>
        </r>
        <r>
          <rPr>
            <sz val="10"/>
            <color indexed="81"/>
            <rFont val="Tahoma"/>
            <family val="2"/>
          </rPr>
          <t xml:space="preserve">
</t>
        </r>
      </text>
    </comment>
    <comment ref="K32" authorId="0" shapeId="0" xr:uid="{00000000-0006-0000-0900-000005000000}">
      <text>
        <r>
          <rPr>
            <b/>
            <sz val="10"/>
            <color indexed="81"/>
            <rFont val="Tahoma"/>
            <family val="2"/>
          </rPr>
          <t>INSERT MOTOR SPECTRUM IF ANY, OTHERWISE DELETE ALL GREEN CELLS.
VALUE SHALL BE TAKEN FROM CELL E22</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Giulio Cappuccini</author>
  </authors>
  <commentList>
    <comment ref="H1" authorId="0" shapeId="0" xr:uid="{00000000-0006-0000-0F00-000001000000}">
      <text>
        <r>
          <rPr>
            <b/>
            <sz val="9"/>
            <color indexed="81"/>
            <rFont val="Tahoma"/>
            <family val="2"/>
          </rPr>
          <t>Giulio Cappuccini:</t>
        </r>
        <r>
          <rPr>
            <sz val="9"/>
            <color indexed="81"/>
            <rFont val="Tahoma"/>
            <family val="2"/>
          </rPr>
          <t xml:space="preserve">
conversione barG in bar
</t>
        </r>
      </text>
    </comment>
    <comment ref="I1" authorId="0" shapeId="0" xr:uid="{00000000-0006-0000-0F00-000002000000}">
      <text>
        <r>
          <rPr>
            <b/>
            <sz val="9"/>
            <color indexed="81"/>
            <rFont val="Tahoma"/>
            <family val="2"/>
          </rPr>
          <t>Giulio Cappuccini:</t>
        </r>
        <r>
          <rPr>
            <sz val="9"/>
            <color indexed="81"/>
            <rFont val="Tahoma"/>
            <family val="2"/>
          </rPr>
          <t xml:space="preserve">
riduzione del 10%
</t>
        </r>
      </text>
    </comment>
    <comment ref="U2" authorId="0" shapeId="0" xr:uid="{00000000-0006-0000-0F00-000003000000}">
      <text>
        <r>
          <rPr>
            <b/>
            <sz val="9"/>
            <color indexed="81"/>
            <rFont val="Tahoma"/>
            <family val="2"/>
          </rPr>
          <t>Giulio Cappuccini:</t>
        </r>
        <r>
          <rPr>
            <sz val="9"/>
            <color indexed="81"/>
            <rFont val="Tahoma"/>
            <family val="2"/>
          </rPr>
          <t xml:space="preserve">
I VALORI NON CI SONO NELL'EXCEL, MESSI GI STESSI DELL'HF
non c'è una specifica sigla cilindro che inizia con "HF3", sono gli stessi dell'HG</t>
        </r>
      </text>
    </comment>
    <comment ref="AO2" authorId="0" shapeId="0" xr:uid="{00000000-0006-0000-0F00-000004000000}">
      <text>
        <r>
          <rPr>
            <b/>
            <sz val="9"/>
            <color indexed="81"/>
            <rFont val="Tahoma"/>
            <family val="2"/>
          </rPr>
          <t>Giulio Cappuccini:</t>
        </r>
        <r>
          <rPr>
            <sz val="9"/>
            <color indexed="81"/>
            <rFont val="Tahoma"/>
            <family val="2"/>
          </rPr>
          <t xml:space="preserve">
SONO GLI STESSI DI HE
</t>
        </r>
      </text>
    </comment>
  </commentList>
</comments>
</file>

<file path=xl/sharedStrings.xml><?xml version="1.0" encoding="utf-8"?>
<sst xmlns="http://schemas.openxmlformats.org/spreadsheetml/2006/main" count="3133" uniqueCount="1075">
  <si>
    <t>rpm</t>
  </si>
  <si>
    <t>MW</t>
  </si>
  <si>
    <t>COMPONENTS</t>
  </si>
  <si>
    <t>FORM.</t>
  </si>
  <si>
    <t>M.W.</t>
  </si>
  <si>
    <t>%VOL</t>
  </si>
  <si>
    <t>HYDROGEN</t>
  </si>
  <si>
    <t>H2</t>
  </si>
  <si>
    <t>OXYGENE</t>
  </si>
  <si>
    <t>O2</t>
  </si>
  <si>
    <t>NITROGEN</t>
  </si>
  <si>
    <t>N2</t>
  </si>
  <si>
    <t>CARBON MONOXYDE</t>
  </si>
  <si>
    <t>CO</t>
  </si>
  <si>
    <t>CARBON DIOXYDE</t>
  </si>
  <si>
    <t>CO2</t>
  </si>
  <si>
    <t>WATER VAPOUR</t>
  </si>
  <si>
    <t>H2O</t>
  </si>
  <si>
    <t>AMMONIA</t>
  </si>
  <si>
    <t>NH3</t>
  </si>
  <si>
    <t>SULFUR DIOXIDE</t>
  </si>
  <si>
    <t>SO2</t>
  </si>
  <si>
    <t>H2S</t>
  </si>
  <si>
    <t>AIR</t>
  </si>
  <si>
    <t>METHANE</t>
  </si>
  <si>
    <t>CH4</t>
  </si>
  <si>
    <t>ACETILENE</t>
  </si>
  <si>
    <t>C2H2</t>
  </si>
  <si>
    <t>ETHYLENE</t>
  </si>
  <si>
    <t>C2H4</t>
  </si>
  <si>
    <t>ETHANE</t>
  </si>
  <si>
    <t>C2H6</t>
  </si>
  <si>
    <t>PROPYLENE</t>
  </si>
  <si>
    <t>C3H6</t>
  </si>
  <si>
    <t>PROPANE</t>
  </si>
  <si>
    <t>C3H8</t>
  </si>
  <si>
    <t>C4H8</t>
  </si>
  <si>
    <t>I-BUTYLENE</t>
  </si>
  <si>
    <t>BUTANE</t>
  </si>
  <si>
    <t>C4H10</t>
  </si>
  <si>
    <t>I-BUTANE</t>
  </si>
  <si>
    <t>PENTANE</t>
  </si>
  <si>
    <t>C5H12</t>
  </si>
  <si>
    <t>I-PENTANE</t>
  </si>
  <si>
    <t>NEO PENTANE</t>
  </si>
  <si>
    <t>BENZENE</t>
  </si>
  <si>
    <t>C6H6</t>
  </si>
  <si>
    <t>EXANE</t>
  </si>
  <si>
    <t>C6H14</t>
  </si>
  <si>
    <t>EPTANE</t>
  </si>
  <si>
    <t>C7H16</t>
  </si>
  <si>
    <t>TOTAL</t>
  </si>
  <si>
    <t>PERFORMANCE DATA:</t>
  </si>
  <si>
    <t>MMSCFD</t>
  </si>
  <si>
    <t>Lb/Hr</t>
  </si>
  <si>
    <t>Kg/Hr</t>
  </si>
  <si>
    <t xml:space="preserve">     Color Coding:</t>
  </si>
  <si>
    <t>Nm3/h</t>
  </si>
  <si>
    <t>PROPOSAL No.</t>
  </si>
  <si>
    <t>DATE</t>
  </si>
  <si>
    <t>PROJECT</t>
  </si>
  <si>
    <t>CUSTOMER</t>
  </si>
  <si>
    <t>LOCATION</t>
  </si>
  <si>
    <t>LOW SPEED</t>
  </si>
  <si>
    <t>SELECT</t>
  </si>
  <si>
    <t>LUBE</t>
  </si>
  <si>
    <t>Cylinder lubrication</t>
  </si>
  <si>
    <t>NO LUBE</t>
  </si>
  <si>
    <t>HYDROGEN SULFIDE</t>
  </si>
  <si>
    <t>Capacity</t>
  </si>
  <si>
    <t>Suct. Pressure</t>
  </si>
  <si>
    <t>Disch Pressure</t>
  </si>
  <si>
    <t>1st Stg. Suct. Temp.</t>
  </si>
  <si>
    <t>nth Stg. Suct. Temp.</t>
  </si>
  <si>
    <t>No. Stages</t>
  </si>
  <si>
    <t>Motor type:</t>
  </si>
  <si>
    <t>Compressor type:</t>
  </si>
  <si>
    <t>Cyl. Clearance</t>
  </si>
  <si>
    <t>Cylinder Diameter</t>
  </si>
  <si>
    <t>Number of Cylinders</t>
  </si>
  <si>
    <t>Service 1 - Stage</t>
  </si>
  <si>
    <t>Service 2 - Stage</t>
  </si>
  <si>
    <t>Number of services</t>
  </si>
  <si>
    <t>Cylinder lubrification</t>
  </si>
  <si>
    <t>Compressor speed</t>
  </si>
  <si>
    <t>HIGH SPEED</t>
  </si>
  <si>
    <t>Compressor Type</t>
  </si>
  <si>
    <t>low speed</t>
  </si>
  <si>
    <t>high speed</t>
  </si>
  <si>
    <t>Motor Type</t>
  </si>
  <si>
    <t>50 Hz</t>
  </si>
  <si>
    <t>60 Hz</t>
  </si>
  <si>
    <t>50 Hz Induction</t>
  </si>
  <si>
    <t>60 Hz Induction</t>
  </si>
  <si>
    <t>50 Hz Synchronous</t>
  </si>
  <si>
    <t>60 Hz Synchronous</t>
  </si>
  <si>
    <t>Stroke</t>
  </si>
  <si>
    <t>short</t>
  </si>
  <si>
    <t>EX-26p</t>
  </si>
  <si>
    <t>Piston Speed Limit:</t>
  </si>
  <si>
    <t>Lubrification</t>
  </si>
  <si>
    <t>Imposed Number Of Stages</t>
  </si>
  <si>
    <t>Service1</t>
  </si>
  <si>
    <t>Service2</t>
  </si>
  <si>
    <t>Stage</t>
  </si>
  <si>
    <t>Attribute</t>
  </si>
  <si>
    <t>Mean Cylinder Clearance (0.x)</t>
  </si>
  <si>
    <t>Number of Cylynders per stage</t>
  </si>
  <si>
    <t>Cylinder diameter</t>
  </si>
  <si>
    <t>Output data</t>
  </si>
  <si>
    <t>m/s</t>
  </si>
  <si>
    <t>Mandatory Input Data</t>
  </si>
  <si>
    <t>Optional Input Data</t>
  </si>
  <si>
    <t>Calculated Input Data</t>
  </si>
  <si>
    <t>Number of cranks</t>
  </si>
  <si>
    <t>Poles</t>
  </si>
  <si>
    <t>Speed</t>
  </si>
  <si>
    <t>Piston Speed</t>
  </si>
  <si>
    <t>ft/min</t>
  </si>
  <si>
    <t>mm</t>
  </si>
  <si>
    <t>kw</t>
  </si>
  <si>
    <t>Service</t>
  </si>
  <si>
    <t>Required Capacity</t>
  </si>
  <si>
    <t>Rated Capacity</t>
  </si>
  <si>
    <t>Kg/h</t>
  </si>
  <si>
    <t>Molecular Weight</t>
  </si>
  <si>
    <t>Compression ratio</t>
  </si>
  <si>
    <t>Suction Pressure</t>
  </si>
  <si>
    <t>kv Compression</t>
  </si>
  <si>
    <t>Cylinder bore</t>
  </si>
  <si>
    <t>%</t>
  </si>
  <si>
    <t>DaN</t>
  </si>
  <si>
    <t>Service/Stage</t>
  </si>
  <si>
    <t>Calculated Capacity</t>
  </si>
  <si>
    <t>Tot. Absor. Power</t>
  </si>
  <si>
    <t>Discharge Pressure</t>
  </si>
  <si>
    <t>1st Stage Suction Temperature</t>
  </si>
  <si>
    <t>Other Stages Suction Temperature</t>
  </si>
  <si>
    <t>Bar A</t>
  </si>
  <si>
    <t>psi A</t>
  </si>
  <si>
    <t>Deg C</t>
  </si>
  <si>
    <t>Deg F</t>
  </si>
  <si>
    <t>DATA FOR "LIGHT RCS" (FOR APPLICATION ENGINEER USE ONLY)</t>
  </si>
  <si>
    <t>OXYGEN</t>
  </si>
  <si>
    <t>CARBON MONOXIDE</t>
  </si>
  <si>
    <t>CARBON DIOXIDE</t>
  </si>
  <si>
    <t>ACETYLENE</t>
  </si>
  <si>
    <t>N-BUTANE</t>
  </si>
  <si>
    <t>N-PENTANE</t>
  </si>
  <si>
    <t>N-HEPTANE</t>
  </si>
  <si>
    <t>N-HEXANE</t>
  </si>
  <si>
    <t>DATA FOR INTERNAL USE ONLY</t>
  </si>
  <si>
    <t>Light RCS</t>
  </si>
  <si>
    <t>MEDIUM SPEED</t>
  </si>
  <si>
    <t>Gas Engine</t>
  </si>
  <si>
    <t>WARNING: DISCHARGE TEMPERATURE ABOVE THE LIMIT</t>
  </si>
  <si>
    <t>WARNING: ROD REVERSAL NOT SUFFICIENT - SELECTION BY RCS</t>
  </si>
  <si>
    <t>FATAL ERROR: CYLINDER BORE TOO LARGE, NOT AVAILABLE ON THIS FRAME</t>
  </si>
  <si>
    <t>FATAL ERROR: FRAME NOT FOUND: INCONGRUENCE BETWEEN SIZE AND NUMBER OF CYL</t>
  </si>
  <si>
    <t>FATAL ERROR: ERROR IN THE INPUT OF GAS MIXTURE</t>
  </si>
  <si>
    <t>WARNING TYPE</t>
  </si>
  <si>
    <t>CODE</t>
  </si>
  <si>
    <t>MESSAGE</t>
  </si>
  <si>
    <t>WARN</t>
  </si>
  <si>
    <t>ERROR</t>
  </si>
  <si>
    <t>RANGE</t>
  </si>
  <si>
    <t>SHEET</t>
  </si>
  <si>
    <t>Output</t>
  </si>
  <si>
    <t>Input</t>
  </si>
  <si>
    <t>Default Value</t>
  </si>
  <si>
    <t>Sheet Name</t>
  </si>
  <si>
    <t>Default Colour.Red</t>
  </si>
  <si>
    <t>Default Colour.Green</t>
  </si>
  <si>
    <t>Default Colour.Blue</t>
  </si>
  <si>
    <t>CompressorType</t>
  </si>
  <si>
    <t>NumberOfPoles</t>
  </si>
  <si>
    <t>Compressor_Speed</t>
  </si>
  <si>
    <t>Low / Medium / High Speed Compressor Models</t>
  </si>
  <si>
    <t>MotorType</t>
  </si>
  <si>
    <t>Range</t>
  </si>
  <si>
    <t>CellX1</t>
  </si>
  <si>
    <t>CellY1</t>
  </si>
  <si>
    <t>CellX2</t>
  </si>
  <si>
    <t>CellY2</t>
  </si>
  <si>
    <t>17</t>
  </si>
  <si>
    <t>6</t>
  </si>
  <si>
    <t>20</t>
  </si>
  <si>
    <t>26</t>
  </si>
  <si>
    <t>29</t>
  </si>
  <si>
    <t>2</t>
  </si>
  <si>
    <t>25</t>
  </si>
  <si>
    <t>9</t>
  </si>
  <si>
    <t>8</t>
  </si>
  <si>
    <t>5</t>
  </si>
  <si>
    <t>1</t>
  </si>
  <si>
    <t>11</t>
  </si>
  <si>
    <t>13</t>
  </si>
  <si>
    <t>15</t>
  </si>
  <si>
    <t>3</t>
  </si>
  <si>
    <t>22</t>
  </si>
  <si>
    <t>4</t>
  </si>
  <si>
    <t>10</t>
  </si>
  <si>
    <t>7</t>
  </si>
  <si>
    <t>NumberOfServices</t>
  </si>
  <si>
    <t>Reciprocating Compressors</t>
  </si>
  <si>
    <t>R C preSelection
Input</t>
  </si>
  <si>
    <t>18</t>
  </si>
  <si>
    <t>24</t>
  </si>
  <si>
    <t>27</t>
  </si>
  <si>
    <t>30</t>
  </si>
  <si>
    <t>32</t>
  </si>
  <si>
    <t>34</t>
  </si>
  <si>
    <t>41</t>
  </si>
  <si>
    <t>28</t>
  </si>
  <si>
    <t>42</t>
  </si>
  <si>
    <t>45</t>
  </si>
  <si>
    <t>46</t>
  </si>
  <si>
    <t>O</t>
  </si>
  <si>
    <t>I</t>
  </si>
  <si>
    <t>Input / Output</t>
  </si>
  <si>
    <t>Description</t>
  </si>
  <si>
    <t>Proposal Number and Date</t>
  </si>
  <si>
    <t>Version of fortran</t>
  </si>
  <si>
    <t>Customer, Project, Location</t>
  </si>
  <si>
    <t>Numer of services</t>
  </si>
  <si>
    <t>Discharge pressure</t>
  </si>
  <si>
    <t>1st stage suction temperature</t>
  </si>
  <si>
    <t>Other stages suction temperature</t>
  </si>
  <si>
    <t>Number of stages</t>
  </si>
  <si>
    <t>Compressor type</t>
  </si>
  <si>
    <t>Absorbed power</t>
  </si>
  <si>
    <t>medium speed</t>
  </si>
  <si>
    <t>OA</t>
  </si>
  <si>
    <t>OC</t>
  </si>
  <si>
    <t>HA</t>
  </si>
  <si>
    <t>HB</t>
  </si>
  <si>
    <t>HD</t>
  </si>
  <si>
    <t>HE</t>
  </si>
  <si>
    <t>HF</t>
  </si>
  <si>
    <t>HG</t>
  </si>
  <si>
    <t>HM</t>
  </si>
  <si>
    <t>SHM</t>
  </si>
  <si>
    <t>SHMB</t>
  </si>
  <si>
    <t>HES</t>
  </si>
  <si>
    <t>Long</t>
  </si>
  <si>
    <t>Big red error message</t>
  </si>
  <si>
    <t>msg: ATTENTION: FRAME SIZE NOT AVAILABLE - REDUCE THE CAPACITY</t>
  </si>
  <si>
    <t>19</t>
  </si>
  <si>
    <t>44</t>
  </si>
  <si>
    <t>msg: 2 srvs input data, only 1 srv selected</t>
  </si>
  <si>
    <t>47</t>
  </si>
  <si>
    <t>msg: redundant input</t>
  </si>
  <si>
    <t>43</t>
  </si>
  <si>
    <t>msg: pressure / no lube</t>
  </si>
  <si>
    <t>msg: MW&gt;23 high speed =&gt; RCS</t>
  </si>
  <si>
    <t>msg: discharge pressure &gt; barA =&gt; RCS</t>
  </si>
  <si>
    <t>msg: frame size not available</t>
  </si>
  <si>
    <t>msg: HG only lube</t>
  </si>
  <si>
    <t>msg: High speed Lube only</t>
  </si>
  <si>
    <t>msg: No lube, short only</t>
  </si>
  <si>
    <t>msg: HF HG, max 375rpm</t>
  </si>
  <si>
    <t>48</t>
  </si>
  <si>
    <t>msg: piston speed &gt; recommended</t>
  </si>
  <si>
    <t>49</t>
  </si>
  <si>
    <t>msg: max rod load compression</t>
  </si>
  <si>
    <t>50</t>
  </si>
  <si>
    <t>msg: max rod load traction</t>
  </si>
  <si>
    <t>51</t>
  </si>
  <si>
    <t>msg: adiabatic temp &gt; 130|140 MW&lt;=12|&gt;12</t>
  </si>
  <si>
    <t>52</t>
  </si>
  <si>
    <t>Compressor Speed</t>
  </si>
  <si>
    <t>Compressor code by Aut.Sel.</t>
  </si>
  <si>
    <t>Number of poles</t>
  </si>
  <si>
    <t>Mandatory Input</t>
  </si>
  <si>
    <t>N</t>
  </si>
  <si>
    <t>Y</t>
  </si>
  <si>
    <t>N.A.</t>
  </si>
  <si>
    <t>SRV1: Cyl. Clearance / Cylinder Diameter / Number of Cylinders</t>
  </si>
  <si>
    <t>SRV2: Cyl. Clearance / Cylinder Diameter / Number of Cylinders</t>
  </si>
  <si>
    <t>SRV1: Gas composition</t>
  </si>
  <si>
    <t>Piston speed limit</t>
  </si>
  <si>
    <t>SRV1: Capacity</t>
  </si>
  <si>
    <t>SRV2: Capacity</t>
  </si>
  <si>
    <t>D:NumberOfServices:2</t>
  </si>
  <si>
    <t>msg: mandatory not filled</t>
  </si>
  <si>
    <t>SRV1: Suction pressure</t>
  </si>
  <si>
    <t>SRV2: Suction pressure</t>
  </si>
  <si>
    <t>BIG_RED_MSG</t>
  </si>
  <si>
    <t>Unique Key per Sheet</t>
  </si>
  <si>
    <t>D:MotorType:7</t>
  </si>
  <si>
    <t>Absorbed Power</t>
  </si>
  <si>
    <t>14</t>
  </si>
  <si>
    <t/>
  </si>
  <si>
    <t>FORMULA</t>
  </si>
  <si>
    <t>msg: 1 srv set, inputs in srv2 entered</t>
  </si>
  <si>
    <t>12</t>
  </si>
  <si>
    <t>Gas + inertia rod load (compression)</t>
  </si>
  <si>
    <t>Gas + inertia rod load (tension)</t>
  </si>
  <si>
    <t>Max Allow. Loads (compression)</t>
  </si>
  <si>
    <t>Max Allow. Loads (tension)</t>
  </si>
  <si>
    <t>Suction Temperature</t>
  </si>
  <si>
    <t>Compression Factor</t>
  </si>
  <si>
    <t>Adiab. Disch. Temp.</t>
  </si>
  <si>
    <t>Cylinders per stage</t>
  </si>
  <si>
    <t>WARNING: HE CYLINDER SELECTED FOR HES FRAME</t>
  </si>
  <si>
    <t>HF3</t>
  </si>
  <si>
    <t>extrashort</t>
  </si>
  <si>
    <t>Rpm input to LightRcs</t>
  </si>
  <si>
    <t>Driver</t>
  </si>
  <si>
    <t>Electric motor</t>
  </si>
  <si>
    <t>Gas engine</t>
  </si>
  <si>
    <t>RPM Limit</t>
  </si>
  <si>
    <t>Number of Poles:</t>
  </si>
  <si>
    <t>Compressor Type : Stroke</t>
  </si>
  <si>
    <t>R C preSelection
Automatic Selection Output</t>
  </si>
  <si>
    <t>HG3</t>
  </si>
  <si>
    <t>WARNING: HG3 BFS CYL. PRELIMINARY DATA TO BE CHECKED WITH RC-ENG</t>
  </si>
  <si>
    <t>WARNING: LOAD OVER ALLOWABLE IN PERFORMANCE CALCULATION LIGHT-RCS</t>
  </si>
  <si>
    <t>ERROR: MAX FRAME SIZE IS NOT SUFFICIENT TO SATISFY THE REQUEST</t>
  </si>
  <si>
    <t>extraLong</t>
  </si>
  <si>
    <t>R C preSelection
Light RCS
Output</t>
  </si>
  <si>
    <t>Sm3/h</t>
  </si>
  <si>
    <t>NNT</t>
  </si>
  <si>
    <t>s</t>
  </si>
  <si>
    <t xml:space="preserve">HB </t>
  </si>
  <si>
    <t>l</t>
  </si>
  <si>
    <t>a</t>
  </si>
  <si>
    <t>x</t>
  </si>
  <si>
    <t>SMB</t>
  </si>
  <si>
    <t>Rpm limit:</t>
  </si>
  <si>
    <t>No</t>
  </si>
  <si>
    <t>Yes</t>
  </si>
  <si>
    <t>Synchronous Motor is suggested for power: &gt;=4MW @ 60Hz or &gt;=6MW @ 50Hz</t>
  </si>
  <si>
    <t>N-OCTANE</t>
  </si>
  <si>
    <t>C8H18</t>
  </si>
  <si>
    <t>N-NONANE</t>
  </si>
  <si>
    <t>N-DECANE</t>
  </si>
  <si>
    <t>UNDECANE</t>
  </si>
  <si>
    <t>DODECANE</t>
  </si>
  <si>
    <t>C9H20</t>
  </si>
  <si>
    <t>C10H22</t>
  </si>
  <si>
    <t>C11H24</t>
  </si>
  <si>
    <t>C12H26</t>
  </si>
  <si>
    <t>SRV3: Capacity</t>
  </si>
  <si>
    <t>D:NumberOfServices:3</t>
  </si>
  <si>
    <t>Service 3 - Stage</t>
  </si>
  <si>
    <t>Service 1</t>
  </si>
  <si>
    <t>Service 2</t>
  </si>
  <si>
    <t>Service 3</t>
  </si>
  <si>
    <t>Eq. of State</t>
  </si>
  <si>
    <t>Proposal No.</t>
  </si>
  <si>
    <t>xxxxxxx</t>
  </si>
  <si>
    <t>Frame size</t>
  </si>
  <si>
    <t>Page</t>
  </si>
  <si>
    <t>1 / 1</t>
  </si>
  <si>
    <t>Item</t>
  </si>
  <si>
    <t>Data Input</t>
  </si>
  <si>
    <t xml:space="preserve">   </t>
  </si>
  <si>
    <t>Date</t>
  </si>
  <si>
    <t>rev</t>
  </si>
  <si>
    <t>RECIPROCATING COMPRESSOR DATA SHEET</t>
  </si>
  <si>
    <t>is NNT required?</t>
  </si>
  <si>
    <t>DTR02.01.03</t>
  </si>
  <si>
    <t>UNITS</t>
  </si>
  <si>
    <t>CUSTOMER:</t>
  </si>
  <si>
    <t>xxx</t>
  </si>
  <si>
    <t>LOCATION:</t>
  </si>
  <si>
    <t>frame</t>
  </si>
  <si>
    <t>Rod dia</t>
  </si>
  <si>
    <t>W.Pin max load C [daN]</t>
  </si>
  <si>
    <t>W.Pin max load T [daN]</t>
  </si>
  <si>
    <t>Load</t>
  </si>
  <si>
    <t>Press.</t>
  </si>
  <si>
    <t>Temp.</t>
  </si>
  <si>
    <t>Weight Flow</t>
  </si>
  <si>
    <t>Norm.Vol. Flow</t>
  </si>
  <si>
    <t>Act.Vol. Flow</t>
  </si>
  <si>
    <t>Power</t>
  </si>
  <si>
    <t>Lenght</t>
  </si>
  <si>
    <t>SERVICE:</t>
  </si>
  <si>
    <t>daN</t>
  </si>
  <si>
    <t>°C</t>
  </si>
  <si>
    <t>kg/h</t>
  </si>
  <si>
    <t>m3/h</t>
  </si>
  <si>
    <t>kW</t>
  </si>
  <si>
    <t>MODEL:</t>
  </si>
  <si>
    <t>ITEM:</t>
  </si>
  <si>
    <t>kgf</t>
  </si>
  <si>
    <t>Bar G</t>
  </si>
  <si>
    <t>°F</t>
  </si>
  <si>
    <t>lb/h</t>
  </si>
  <si>
    <t>CFM</t>
  </si>
  <si>
    <t>HP</t>
  </si>
  <si>
    <t>inc</t>
  </si>
  <si>
    <t>kN</t>
  </si>
  <si>
    <t>kgf/cm2a</t>
  </si>
  <si>
    <t>SCFM</t>
  </si>
  <si>
    <t>OPERATING CONDITIONS (FOR EACH MACHINE)</t>
  </si>
  <si>
    <t>lbf</t>
  </si>
  <si>
    <t>kgf/cm2g</t>
  </si>
  <si>
    <t xml:space="preserve"> -SERVICE No.</t>
  </si>
  <si>
    <t>k-Pa-A</t>
  </si>
  <si>
    <t xml:space="preserve"> -CASE</t>
  </si>
  <si>
    <t>DESIGN</t>
  </si>
  <si>
    <t>k-Pa-G</t>
  </si>
  <si>
    <t xml:space="preserve"> -STAGE</t>
  </si>
  <si>
    <t>PSIA</t>
  </si>
  <si>
    <t xml:space="preserve"> -GAS HANDLED</t>
  </si>
  <si>
    <t>PSIG</t>
  </si>
  <si>
    <t xml:space="preserve"> -MOLECULAR WEIGHT</t>
  </si>
  <si>
    <t xml:space="preserve"> -SUCTION PRESSURE (at cyl.flange)</t>
  </si>
  <si>
    <t xml:space="preserve"> -SUCTION TEMPERATURE</t>
  </si>
  <si>
    <t xml:space="preserve"> -DISCHARGE PRESSURE (at cyl.flange)</t>
  </si>
  <si>
    <t xml:space="preserve"> -EXPECT. DISCHARGE TEMP.</t>
  </si>
  <si>
    <t xml:space="preserve"> -MFR CAPACITY (*)</t>
  </si>
  <si>
    <t xml:space="preserve"> -SHAFT POWER</t>
  </si>
  <si>
    <t xml:space="preserve"> -RATED SPEED</t>
  </si>
  <si>
    <t>RPM</t>
  </si>
  <si>
    <t xml:space="preserve"> -RECOMM. DRIVER POWER</t>
  </si>
  <si>
    <t>CYLINDER DATA</t>
  </si>
  <si>
    <t xml:space="preserve"> -N° OF CYL. PER STAGE</t>
  </si>
  <si>
    <t xml:space="preserve"> -SINGLE/DOUBLE ACTING</t>
  </si>
  <si>
    <t>DA</t>
  </si>
  <si>
    <t xml:space="preserve"> -BORE</t>
  </si>
  <si>
    <t xml:space="preserve"> -STROKE</t>
  </si>
  <si>
    <t xml:space="preserve"> -PISTON ROD DIAMETER</t>
  </si>
  <si>
    <t xml:space="preserve"> -PISTON DISPLACEMENT</t>
  </si>
  <si>
    <t xml:space="preserve"> -VOL. EFFICIENCY</t>
  </si>
  <si>
    <t xml:space="preserve"> -N° OF IN/OUT VALVE PER END</t>
  </si>
  <si>
    <t xml:space="preserve"> -VALVE TYPE</t>
  </si>
  <si>
    <t>RINGS</t>
  </si>
  <si>
    <t xml:space="preserve"> -PISTON SPEED</t>
  </si>
  <si>
    <t xml:space="preserve"> -RELIEF VALVE SETTING</t>
  </si>
  <si>
    <t xml:space="preserve"> -MAX. ALLOW. WORK. PRESS.</t>
  </si>
  <si>
    <t xml:space="preserve"> -MAX. ALLOW. WORK. TEMP.</t>
  </si>
  <si>
    <t xml:space="preserve"> -HYDROSTATIC TEST PRESS.</t>
  </si>
  <si>
    <t xml:space="preserve"> -MAX ALL.COMB.ROD LOAD COMPR.</t>
  </si>
  <si>
    <t xml:space="preserve"> -MAX ALL.COMB.ROD LOAD TENSION</t>
  </si>
  <si>
    <t xml:space="preserve"> -COMBINED ROD LOAD,COMPR.</t>
  </si>
  <si>
    <t xml:space="preserve"> -COMB. ROD LOAD, TENSION</t>
  </si>
  <si>
    <t xml:space="preserve">MATERIALS </t>
  </si>
  <si>
    <t>(ASTM or EQUIVALENT)</t>
  </si>
  <si>
    <t>Cylinder</t>
  </si>
  <si>
    <t>Liner</t>
  </si>
  <si>
    <t>Piston rings / wear bands / packing rings</t>
  </si>
  <si>
    <t>Piston rod</t>
  </si>
  <si>
    <t xml:space="preserve">KEY: CI= cast iron - NCI= nodular iron - CS= cast steel - FS= forged steel </t>
  </si>
  <si>
    <t xml:space="preserve">         AS=alloy steel  - SS= stainless steel</t>
  </si>
  <si>
    <t>NOTES:</t>
  </si>
  <si>
    <t>This machine selection and above data are preliminary.</t>
  </si>
  <si>
    <t>FATAL ERROR: NUMBER OF STAGES GREATER THAN THE MAXIMUM ALLOWABLE</t>
  </si>
  <si>
    <t>Automatic Selection:</t>
  </si>
  <si>
    <t>Light RCS:</t>
  </si>
  <si>
    <t>A31</t>
  </si>
  <si>
    <t>A32</t>
  </si>
  <si>
    <t>SRV3: Suction pressure</t>
  </si>
  <si>
    <t>SRV2: Gas composition</t>
  </si>
  <si>
    <t>0</t>
  </si>
  <si>
    <t>FATAL ERROR: NO CONVERGENCE IN THERMODYNAMIC CALCULATION MAYBE DUE TO THE PRESENCE OF CONDENSATION. PLEASE CHECK THE INPUTS</t>
  </si>
  <si>
    <t>1-BUTYLENE</t>
  </si>
  <si>
    <t>CYCLOHEXANE</t>
  </si>
  <si>
    <t>CYCLOPENTANE</t>
  </si>
  <si>
    <t>1-C4H8</t>
  </si>
  <si>
    <t>C-C5H10</t>
  </si>
  <si>
    <t>CICLOPENTANO</t>
  </si>
  <si>
    <t>C-C6H12</t>
  </si>
  <si>
    <t>1,2-BUTADINE</t>
  </si>
  <si>
    <t>1,2-C4H6</t>
  </si>
  <si>
    <t>1,2DICHLOROETHANE</t>
  </si>
  <si>
    <t>1,2-C2H4CL2</t>
  </si>
  <si>
    <t>1,3-BUTADIENE</t>
  </si>
  <si>
    <t>1,2-DICHLOROETHANE</t>
  </si>
  <si>
    <t>1,3-C4H6</t>
  </si>
  <si>
    <t>1-HEPTENE</t>
  </si>
  <si>
    <t>1-C7H14</t>
  </si>
  <si>
    <t>1-HEXENE</t>
  </si>
  <si>
    <t>1-C6H12</t>
  </si>
  <si>
    <t>1-PENTENE</t>
  </si>
  <si>
    <t>1-C5H10</t>
  </si>
  <si>
    <t>22-DIMETHYLBUTANE</t>
  </si>
  <si>
    <t>22C4H8(CH3)</t>
  </si>
  <si>
    <t>23-DIMETHYLBUTANE</t>
  </si>
  <si>
    <t>23C4H8(CH3)</t>
  </si>
  <si>
    <t>2-METHYL-1-BUTENE</t>
  </si>
  <si>
    <t>2.1-C4H7.CH3</t>
  </si>
  <si>
    <t>2-METHYL-2-BUTENE</t>
  </si>
  <si>
    <t>2.2-C4H7.CH3</t>
  </si>
  <si>
    <t>2-METHYLPENTANE</t>
  </si>
  <si>
    <t>2.C5H11.CH3</t>
  </si>
  <si>
    <t>3-METHYL-1-BUTENE</t>
  </si>
  <si>
    <t>3.1-C4H7.CH3</t>
  </si>
  <si>
    <t>3-METHYLPENTANE</t>
  </si>
  <si>
    <t>3.C5H11.CH3</t>
  </si>
  <si>
    <t>4-METIL-1-PENTENE</t>
  </si>
  <si>
    <t>4.1-C6H12</t>
  </si>
  <si>
    <t>ACRYLIC ACID</t>
  </si>
  <si>
    <t>CH2.CH.COOH</t>
  </si>
  <si>
    <t>ARGON</t>
  </si>
  <si>
    <t>AR</t>
  </si>
  <si>
    <t>CARBONYL SULFIDE</t>
  </si>
  <si>
    <t>COS</t>
  </si>
  <si>
    <t>CHLORINE</t>
  </si>
  <si>
    <t>CL2</t>
  </si>
  <si>
    <t>CIS-2-BUTENE</t>
  </si>
  <si>
    <t>CIS-2-C4H8</t>
  </si>
  <si>
    <t>CIS-2-PENTENE</t>
  </si>
  <si>
    <t>CIS-2-C5H10</t>
  </si>
  <si>
    <t>DICHLOROMETHANE</t>
  </si>
  <si>
    <t>CH2CL2</t>
  </si>
  <si>
    <t>DIETHYL-SULFIDE</t>
  </si>
  <si>
    <t>C4H9SH</t>
  </si>
  <si>
    <t>DIFLUOROMETHANE</t>
  </si>
  <si>
    <t>CH2F2</t>
  </si>
  <si>
    <t>PROPYLEN-CHLORIDE</t>
  </si>
  <si>
    <t>C3H6CL2</t>
  </si>
  <si>
    <t>ETHANOL</t>
  </si>
  <si>
    <t>C2H5-OH</t>
  </si>
  <si>
    <t>ETHYL ACRYLATE</t>
  </si>
  <si>
    <t>C5H8O2</t>
  </si>
  <si>
    <t>ETHYLBENZENE</t>
  </si>
  <si>
    <t>C6H5-C2H5</t>
  </si>
  <si>
    <t>ETHYLENE-OXIDE</t>
  </si>
  <si>
    <t>C2H4O</t>
  </si>
  <si>
    <t>ETHYL-MERCAPTAN</t>
  </si>
  <si>
    <t>C2H5SH</t>
  </si>
  <si>
    <t>FREON-114</t>
  </si>
  <si>
    <t>C2CL2F4</t>
  </si>
  <si>
    <t>FREON-12</t>
  </si>
  <si>
    <t>CCL2F2</t>
  </si>
  <si>
    <t>FREON-13</t>
  </si>
  <si>
    <t>CCLF3</t>
  </si>
  <si>
    <t>FREON-22</t>
  </si>
  <si>
    <t>CHCLF2</t>
  </si>
  <si>
    <t>HELIUM</t>
  </si>
  <si>
    <t>HYDROGEN CHLORID</t>
  </si>
  <si>
    <t>HCL</t>
  </si>
  <si>
    <t>I-PROPYL-CHLORIDE</t>
  </si>
  <si>
    <t>CHCL(CH3)</t>
  </si>
  <si>
    <t>ISOBUTANOL</t>
  </si>
  <si>
    <t>CH3.C3H6-OH</t>
  </si>
  <si>
    <t>ISO-HEXENE</t>
  </si>
  <si>
    <t>ISOPROPANOL</t>
  </si>
  <si>
    <t>2.C3H7-OH</t>
  </si>
  <si>
    <t>METHANOL</t>
  </si>
  <si>
    <t>CH3-OH</t>
  </si>
  <si>
    <t>METHYL ACRYLATE</t>
  </si>
  <si>
    <t>C4H6O2</t>
  </si>
  <si>
    <t>METHYL CHLORIDE</t>
  </si>
  <si>
    <t>CH3CL</t>
  </si>
  <si>
    <t>METHYLACETATE</t>
  </si>
  <si>
    <t>CH3.COO.CH3</t>
  </si>
  <si>
    <t>METHYLACETYLENE</t>
  </si>
  <si>
    <t>C2H-CH3</t>
  </si>
  <si>
    <t>MEK</t>
  </si>
  <si>
    <t>CH3.CO.C2H5</t>
  </si>
  <si>
    <t>METHYETHYSULFIDE</t>
  </si>
  <si>
    <t>C3H7SH</t>
  </si>
  <si>
    <t>METHYL-MERCAPTAN</t>
  </si>
  <si>
    <t>CH3SH</t>
  </si>
  <si>
    <t>M-XYLENE</t>
  </si>
  <si>
    <t>M.C6H4(CH3)2</t>
  </si>
  <si>
    <t>N-BUTANOL</t>
  </si>
  <si>
    <t>C4H9-OH</t>
  </si>
  <si>
    <t>NITRIC OXIDE</t>
  </si>
  <si>
    <t>NO</t>
  </si>
  <si>
    <t>NITROGEN DIOXIDE</t>
  </si>
  <si>
    <t>NO2</t>
  </si>
  <si>
    <t>NITROGEN TETRAOX</t>
  </si>
  <si>
    <t>(NO2)2</t>
  </si>
  <si>
    <t>N-TRIDECANE</t>
  </si>
  <si>
    <t>C13H28</t>
  </si>
  <si>
    <t>O-XYLENE</t>
  </si>
  <si>
    <t>O.C6H4(CH3)2</t>
  </si>
  <si>
    <t>PENTAFLUOROETHANE</t>
  </si>
  <si>
    <t>C2HF5</t>
  </si>
  <si>
    <t>PROPADIENE</t>
  </si>
  <si>
    <t>C3H4</t>
  </si>
  <si>
    <t>PROPANOL</t>
  </si>
  <si>
    <t>1.C3H7-OH</t>
  </si>
  <si>
    <t>PROPYL-CHLORIDE</t>
  </si>
  <si>
    <t>C2H5-CH2CL</t>
  </si>
  <si>
    <t>PROPYLENE-OXIDE</t>
  </si>
  <si>
    <t>C3H6O</t>
  </si>
  <si>
    <t>P-XYLENE</t>
  </si>
  <si>
    <t>P.C6H4(CH3)2</t>
  </si>
  <si>
    <t>SUVA HFC-134A</t>
  </si>
  <si>
    <t>CH2FCF3</t>
  </si>
  <si>
    <t>SUVA-410A</t>
  </si>
  <si>
    <t>CH2F2-C2HF5</t>
  </si>
  <si>
    <t>TETRAFLUOROETHENE</t>
  </si>
  <si>
    <t>C2F4</t>
  </si>
  <si>
    <t>TOLUENE</t>
  </si>
  <si>
    <t>C6H5.CH3</t>
  </si>
  <si>
    <t>TRANS-2-BUTENE</t>
  </si>
  <si>
    <t>TRANS-2-C4H8</t>
  </si>
  <si>
    <t>TRANS-2-PENTENE</t>
  </si>
  <si>
    <t>TRA-2-C5H10</t>
  </si>
  <si>
    <t>VINYLACETATE</t>
  </si>
  <si>
    <t>CH3.COO.C2H3</t>
  </si>
  <si>
    <t>VINYL-CHLORIDE</t>
  </si>
  <si>
    <t>CH2CHCL</t>
  </si>
  <si>
    <t>,</t>
  </si>
  <si>
    <t>Other gas</t>
  </si>
  <si>
    <t>Parameter</t>
  </si>
  <si>
    <t>Datasource (Output/Light RCS)</t>
  </si>
  <si>
    <t>Value</t>
  </si>
  <si>
    <t>Export-to-RCS</t>
  </si>
  <si>
    <t>OTHER GAS…</t>
  </si>
  <si>
    <t>Hide</t>
  </si>
  <si>
    <t>Show</t>
  </si>
  <si>
    <t>Q.TY:</t>
  </si>
  <si>
    <t>1 + 1</t>
  </si>
  <si>
    <t>CYLINDER Construction:</t>
  </si>
  <si>
    <t>m</t>
  </si>
  <si>
    <t>Service No.</t>
  </si>
  <si>
    <t>STAGE</t>
  </si>
  <si>
    <t>Suct Press Bar A</t>
  </si>
  <si>
    <t>Suct Temp °C</t>
  </si>
  <si>
    <t>Disch Press Bar A</t>
  </si>
  <si>
    <t>Disch temp °C</t>
  </si>
  <si>
    <t>Capacity Kg/h</t>
  </si>
  <si>
    <t>Capacity Nm3/h</t>
  </si>
  <si>
    <t>Shaft Power kW</t>
  </si>
  <si>
    <t xml:space="preserve"> -SERVICE / STAGE</t>
  </si>
  <si>
    <t>No. Cyl per STG</t>
  </si>
  <si>
    <t>Bore mm</t>
  </si>
  <si>
    <t>Stroke mm</t>
  </si>
  <si>
    <t>Comb. Load C daN</t>
  </si>
  <si>
    <t>Comb. Load T daN</t>
  </si>
  <si>
    <t>Landi ha chiesto di inibire la serie OC</t>
  </si>
  <si>
    <t>-</t>
  </si>
  <si>
    <t>YES</t>
  </si>
  <si>
    <t>Manual</t>
  </si>
  <si>
    <t>Select</t>
  </si>
  <si>
    <t>% of reverse loads</t>
  </si>
  <si>
    <t>Allowable % loads MAX</t>
  </si>
  <si>
    <t>Allowable deg loads MAX</t>
  </si>
  <si>
    <t>Piston+rod  mass</t>
  </si>
  <si>
    <t>Kg</t>
  </si>
  <si>
    <t>Rod diameter</t>
  </si>
  <si>
    <t>16</t>
  </si>
  <si>
    <t>Cyl. Average Clearance</t>
  </si>
  <si>
    <t>Errors-&amp;-Warnings</t>
  </si>
  <si>
    <t>31</t>
  </si>
  <si>
    <t>36</t>
  </si>
  <si>
    <t>56</t>
  </si>
  <si>
    <t>39</t>
  </si>
  <si>
    <t>40</t>
  </si>
  <si>
    <t>155</t>
  </si>
  <si>
    <t>157</t>
  </si>
  <si>
    <t>161</t>
  </si>
  <si>
    <t>163</t>
  </si>
  <si>
    <t>74</t>
  </si>
  <si>
    <t>152</t>
  </si>
  <si>
    <t>kg/cm2</t>
  </si>
  <si>
    <t>Series</t>
  </si>
  <si>
    <t>Calculated Cyl. Average Clearance</t>
  </si>
  <si>
    <t>Stroke [mm]</t>
  </si>
  <si>
    <t>RPM 50 sincrono</t>
  </si>
  <si>
    <t>RPM 60 sincrono</t>
  </si>
  <si>
    <t>RPM 50 induction</t>
  </si>
  <si>
    <t>RPM 60 induction</t>
  </si>
  <si>
    <t>LKP</t>
  </si>
  <si>
    <t>VALORI PRESI DAL EXCEL: C26-Summary_rev.24c</t>
  </si>
  <si>
    <t>BarG</t>
  </si>
  <si>
    <t>BarA</t>
  </si>
  <si>
    <t>Tipo costruttivo</t>
  </si>
  <si>
    <t>AFS</t>
  </si>
  <si>
    <t>NCI</t>
  </si>
  <si>
    <t>BFS</t>
  </si>
  <si>
    <t>CI</t>
  </si>
  <si>
    <t>CI/CS</t>
  </si>
  <si>
    <t>ASS</t>
  </si>
  <si>
    <t>CS</t>
  </si>
  <si>
    <t>CS/NCI</t>
  </si>
  <si>
    <t>NCI-NCT</t>
  </si>
  <si>
    <t>-CS</t>
  </si>
  <si>
    <t>A25</t>
  </si>
  <si>
    <t>A26</t>
  </si>
  <si>
    <t>A27</t>
  </si>
  <si>
    <t>A28</t>
  </si>
  <si>
    <t>A29</t>
  </si>
  <si>
    <t>A30</t>
  </si>
  <si>
    <t>A58</t>
  </si>
  <si>
    <t>A59</t>
  </si>
  <si>
    <t>A60</t>
  </si>
  <si>
    <t>80</t>
  </si>
  <si>
    <t>A61</t>
  </si>
  <si>
    <t>Degree of reverse load</t>
  </si>
  <si>
    <t>k</t>
  </si>
  <si>
    <t>msg: ERROR</t>
  </si>
  <si>
    <t>23</t>
  </si>
  <si>
    <t>37</t>
  </si>
  <si>
    <t>A33</t>
  </si>
  <si>
    <t>A34</t>
  </si>
  <si>
    <t>A35</t>
  </si>
  <si>
    <t>A36</t>
  </si>
  <si>
    <t>A62</t>
  </si>
  <si>
    <t>A63</t>
  </si>
  <si>
    <t>A64</t>
  </si>
  <si>
    <t>A65</t>
  </si>
  <si>
    <t>149</t>
  </si>
  <si>
    <t>A66</t>
  </si>
  <si>
    <t>A67</t>
  </si>
  <si>
    <t>A68</t>
  </si>
  <si>
    <t>A69</t>
  </si>
  <si>
    <t>WARNING: CYLINDER SELECTION CANNOT BE MOUNTED ON THE FRAME, PLEASE REVIEW CYLINDERS POSITION AND CYLINDER-CODE IF POSSIBLE TO AVOID INTERFERENCE</t>
  </si>
  <si>
    <t>145</t>
  </si>
  <si>
    <t xml:space="preserve"> -ACTUAL OPER. PRESSURE (at cyl. flange)</t>
  </si>
  <si>
    <t>A37</t>
  </si>
  <si>
    <t>A70</t>
  </si>
  <si>
    <t>WARNING: Preliminary Spring preload at closed valve of 0.1 Bar has been evaluated</t>
  </si>
  <si>
    <t xml:space="preserve">FATAL ERROR: NO CONVERGENCE. THE RESULTS ARE NOT RELIABLE.
WORKAROUND: SPLIT THE SERVICE IN TWO SERVICES TO REDUCE No. OF STAGES. </t>
  </si>
  <si>
    <t>Stroke_li</t>
  </si>
  <si>
    <t>Frame_li</t>
  </si>
  <si>
    <t>GAS COMPONENTS</t>
  </si>
  <si>
    <t>ITEM</t>
  </si>
  <si>
    <t>TOPIC</t>
  </si>
  <si>
    <t>DESCRIPTION</t>
  </si>
  <si>
    <t xml:space="preserve">The equation of state used by preselector is LKP. With high molecular weight compositions, an issue on thermodynamic calculation may occur due to presence of condensations. As workaround try to adjust little bit the gas composition.
</t>
  </si>
  <si>
    <t xml:space="preserve">As nomenclature of RC compressors must not have any series reference, number of selected frame series has been moved from "Compressor Type" description to a dedicated output cell in "Output" and "Light RCS" tabs (see cell B17).
</t>
  </si>
  <si>
    <t>Data on Input Tab</t>
  </si>
  <si>
    <r>
      <t xml:space="preserve">- </t>
    </r>
    <r>
      <rPr>
        <u/>
        <sz val="12"/>
        <rFont val="Arial"/>
        <family val="2"/>
      </rPr>
      <t>Rated Capacity</t>
    </r>
    <r>
      <rPr>
        <sz val="12"/>
        <rFont val="Arial"/>
        <family val="2"/>
      </rPr>
      <t xml:space="preserve">: several units for rated required gas flow in weight or volume are available. If more than one field is filled the tool considers the sum of all. Sizing is performed using Nm3/h;
</t>
    </r>
  </si>
  <si>
    <t>Calc26p version</t>
  </si>
  <si>
    <t>The Calc26p running behind is a simplification of the RCS2-Calc26 wsdp version enhanced with the automatic preselection algorithm.</t>
  </si>
  <si>
    <t>RC selection criteria / optimization</t>
  </si>
  <si>
    <t>If no solution is achieved, tool increases the number of cylinders and restarts the loop from initial step.</t>
  </si>
  <si>
    <t>In case of "Maximum Bore" input data exists, the preselector will perform the RC selection limiting cylinder diameters accordingly.</t>
  </si>
  <si>
    <t xml:space="preserve">Priority of the preselector is to minimize number of cylinders, therefore it can happen that larger frame size is selected to have lower number of cylinders.
</t>
  </si>
  <si>
    <t xml:space="preserve">Within selected cylinder bores, the tool calculates the Cylinder average clearances to match exactly the rated capacity. Final values are shown in output results and they are not reflecting the DTR standard discrete values.
</t>
  </si>
  <si>
    <t>Cylinder MAWP check</t>
  </si>
  <si>
    <t>As stated in Item 3, the calculation selects required cylinder bore for each stage regardless the cylinder type (i.e. NCI, CS and FS).  By the way, a check between discharge pressure of each stage and cylinder MAWP is performed leveraging the DB described in item 8.</t>
  </si>
  <si>
    <r>
      <t xml:space="preserve">For example, if preselector selected a cylinder bore of 400 mm for an HG compressor, this means that the DTR std cylinder is HG410NCI or NCT or CS, with 3 different values of MAWP:
</t>
    </r>
    <r>
      <rPr>
        <sz val="12"/>
        <rFont val="Courier New"/>
        <family val="3"/>
      </rPr>
      <t xml:space="preserve">HG410NCI: MAWP 64.5Barg, max operating pressure 58.96Barg
HG410NCT: MAWP 100Barg, max operating pressure 90Barg
HG410CS: MAWP 171Barg, max operating pressure 154.8Barg
</t>
    </r>
  </si>
  <si>
    <r>
      <t>3) if discharge operating pressure is in a range between 90 and 154.8 Barg, the following alert will appear:</t>
    </r>
    <r>
      <rPr>
        <sz val="12"/>
        <color rgb="FFFF0000"/>
        <rFont val="Arial"/>
        <family val="2"/>
      </rPr>
      <t xml:space="preserve"> FOR THE LIMIT ON THE PRESSURE MUST BE USED THE CYLINDER:  HG410CS</t>
    </r>
    <r>
      <rPr>
        <sz val="12"/>
        <rFont val="Arial"/>
        <family val="2"/>
      </rPr>
      <t xml:space="preserve">;
</t>
    </r>
  </si>
  <si>
    <r>
      <t xml:space="preserve">4) if discharge operating pressure is higher than 154.8 Barg, the following alert will appear: </t>
    </r>
    <r>
      <rPr>
        <sz val="12"/>
        <color rgb="FFFF0000"/>
        <rFont val="Arial"/>
        <family val="2"/>
      </rPr>
      <t>NO STD CYLINDER HAS THE MAWP HIGHER THAN THE DISCHARGE PRESSURE: NEED TO ASK ENGINEERING</t>
    </r>
    <r>
      <rPr>
        <sz val="12"/>
        <rFont val="Arial"/>
        <family val="2"/>
      </rPr>
      <t>.</t>
    </r>
  </si>
  <si>
    <t>GAS equation</t>
  </si>
  <si>
    <t>Discharge Temperature Limits</t>
  </si>
  <si>
    <t xml:space="preserve">Algorithm can calculate only Abiabadic Discharge Temperature. To avoid expected discharge temperature will exceed limits given by API618, the following limits for calculated adiabatic discharge temperature are considered:
- 130°C @ MW &lt;= 12;
- 140°C @ 12&lt;MW&lt;=20;
- 138°C @ 20&lt;MW.
</t>
  </si>
  <si>
    <t>Cylinder Data for compressor selection</t>
  </si>
  <si>
    <t>As described in item 3, the tool selects cylinder bore regardless cylinder costruction (cast iron, cast steel or forged), therefore following cylinder data and design criteria are considered by algorithm for compressors selection:</t>
  </si>
  <si>
    <t>- there is a database of minimum available cylinder clearances: the preselector considers the maximum values between the minimum available DTR clearances of all type of cylinders (NCI, CS, FS) of each standard bore;</t>
  </si>
  <si>
    <t>- the preselector does not have limits on maximum cylinder average clearances, as it evaulates firstly the smaller cylinder bores;</t>
  </si>
  <si>
    <t>- there is a database of reciprocating masses (piston+rod): the preselector considers the maximum values of DTR weights of all type of cylinders (NCI, CS, FS) of each standard bore;</t>
  </si>
  <si>
    <t>- there is a database of MAWP for each DTR cylinder type: the tool will check discharge pressure of each stage Vs calculated cylinder bore and give an alert if cylinder material different to NCI has to be used (see Item 4 for further details).</t>
  </si>
  <si>
    <t>Piston Speed Limit</t>
  </si>
  <si>
    <r>
      <t xml:space="preserve">If no data Input is present as max allowable piston speed average, the preselector considers as default the following limits: 
</t>
    </r>
    <r>
      <rPr>
        <u/>
        <sz val="12"/>
        <rFont val="Arial"/>
        <family val="2"/>
      </rPr>
      <t>Low Speed compressor models</t>
    </r>
  </si>
  <si>
    <t>- LUBE service: 4.5 m/s;</t>
  </si>
  <si>
    <t xml:space="preserve">- NO LUBE service: 3.5 m/s;
</t>
  </si>
  <si>
    <t>Medium &amp; High Speed</t>
  </si>
  <si>
    <t>- LUBE service: 6 m/s;</t>
  </si>
  <si>
    <t xml:space="preserve">- NO LUBE service: not allowed.
</t>
  </si>
  <si>
    <t>If no data Input is present as max allowable RPM, the preselector considers as default the following limits:</t>
  </si>
  <si>
    <t>- OA: 800 RPM;</t>
  </si>
  <si>
    <t>- HA: 1000 RPM;</t>
  </si>
  <si>
    <t>- HB: 800 RPM;</t>
  </si>
  <si>
    <t>- HD: 690 RPM;</t>
  </si>
  <si>
    <t>- HE: 570 RPM;</t>
  </si>
  <si>
    <t>- HF: 463 RPM;</t>
  </si>
  <si>
    <t>- HF3: 514 RPM for 280mm stroke, 450 RPM for 320mm and 360mm strokes;</t>
  </si>
  <si>
    <t>- HG: 514 RPM for 280mm stroke, 450 RPM for 320mm, 360mm and 400mm strokes;</t>
  </si>
  <si>
    <t>- HG3: 400 RPM;</t>
  </si>
  <si>
    <t>- HES: 750 RPM;</t>
  </si>
  <si>
    <t>- HM: 1200 RPM for 135mm stroke, 1100 RPM for 150mm stroke;</t>
  </si>
  <si>
    <t>- SHM: 1200 RPM;</t>
  </si>
  <si>
    <t xml:space="preserve">- SHMB: 1200 RPM.
</t>
  </si>
  <si>
    <t>Maximum number of cylinders allowed for each frame</t>
  </si>
  <si>
    <t>The tool selects the compressors considering the following max available number of cylinders for each frame size (see DTR02.01.01):</t>
  </si>
  <si>
    <t>- OA: max. 1 cylinder;</t>
  </si>
  <si>
    <t>- HA, SMB: max. 4 cylinders;</t>
  </si>
  <si>
    <t>- HB, HES, HM, SHM: max. 6 cylinders;</t>
  </si>
  <si>
    <t>- HD: max. 8 cylinders;</t>
  </si>
  <si>
    <t xml:space="preserve">- HE, HF, HF3, HG, HG3: max. 10 cylinders.
</t>
  </si>
  <si>
    <t>Selection constraints</t>
  </si>
  <si>
    <r>
      <rPr>
        <b/>
        <sz val="12"/>
        <rFont val="Arial"/>
        <family val="2"/>
      </rPr>
      <t xml:space="preserve">Note: </t>
    </r>
    <r>
      <rPr>
        <sz val="12"/>
        <rFont val="Arial"/>
        <family val="2"/>
      </rPr>
      <t xml:space="preserve">for No lube service, HG3 are selected with 320mm stroke because there is no shorter stroke available. This selection must be approved by engineering before sharing it with customer.
</t>
    </r>
  </si>
  <si>
    <t>Plant Pressure Losses</t>
  </si>
  <si>
    <t>Dynamic Loads</t>
  </si>
  <si>
    <t xml:space="preserve">The preselector does not perform any check of actual dynamic load Vs max allowable.
</t>
  </si>
  <si>
    <t>Compressor Nomenclature</t>
  </si>
  <si>
    <t>Errors &amp; Warnings</t>
  </si>
  <si>
    <t xml:space="preserve">A dedicated Sheet has been implemented to collect all Errors &amp; Warnings for Automatic Selection (Output) and Light RCS calculations.
</t>
  </si>
  <si>
    <t>Budget Data Sheet</t>
  </si>
  <si>
    <t xml:space="preserve">A dedicated Sheet has been added to issue Budget Data Sheet. Input data source can be chosen by drop-down list between following options: 
- Manual
- From Output sheet
- From Ligth RCS sheet
</t>
  </si>
  <si>
    <t>From Output sheet</t>
  </si>
  <si>
    <t xml:space="preserve">From Light RCS sheet </t>
  </si>
  <si>
    <t>Compr. Sizing with No Negative Tolerance?</t>
  </si>
  <si>
    <r>
      <t xml:space="preserve">- </t>
    </r>
    <r>
      <rPr>
        <u/>
        <sz val="12"/>
        <rFont val="Arial"/>
        <family val="2"/>
      </rPr>
      <t>No Negative Tollerance</t>
    </r>
    <r>
      <rPr>
        <sz val="12"/>
        <rFont val="Arial"/>
        <family val="2"/>
      </rPr>
      <t>: as per API618, No Negative Tollerance (NNT) means that compressor has to be sized with larger gas flow than required.</t>
    </r>
  </si>
  <si>
    <t>If  "NNT applicable" option  is "NO" then Rated Compressor Capacity=Input value;</t>
  </si>
  <si>
    <t xml:space="preserve">If  "NNT applicable" option  is "YES" Rated Compressor Capacity=Input value/0.97;
</t>
  </si>
  <si>
    <r>
      <t xml:space="preserve">- </t>
    </r>
    <r>
      <rPr>
        <u/>
        <sz val="12"/>
        <rFont val="Arial"/>
        <family val="2"/>
      </rPr>
      <t>Suction Pressure and Discharge Pressure</t>
    </r>
    <r>
      <rPr>
        <sz val="12"/>
        <rFont val="Arial"/>
        <family val="2"/>
      </rPr>
      <t xml:space="preserve">: several units for pressure value are available. If more than one field is filled the tool considers the sum of all. Sizing is performed using BarA;
</t>
    </r>
  </si>
  <si>
    <r>
      <t xml:space="preserve">- </t>
    </r>
    <r>
      <rPr>
        <u/>
        <sz val="12"/>
        <rFont val="Arial"/>
        <family val="2"/>
      </rPr>
      <t>1st Stage Suction Temperature</t>
    </r>
    <r>
      <rPr>
        <sz val="12"/>
        <rFont val="Arial"/>
        <family val="2"/>
      </rPr>
      <t xml:space="preserve">: if more than one field is filled the tool consider the sum of all. Sizing is performed using °C
</t>
    </r>
  </si>
  <si>
    <r>
      <t xml:space="preserve">- </t>
    </r>
    <r>
      <rPr>
        <u/>
        <sz val="12"/>
        <rFont val="Arial"/>
        <family val="2"/>
      </rPr>
      <t>Other Stages Suction Temperature</t>
    </r>
    <r>
      <rPr>
        <sz val="12"/>
        <rFont val="Arial"/>
        <family val="2"/>
      </rPr>
      <t xml:space="preserve">: if this field is blank, the suction temperature value of 2nd, 3rd etc. stages will be the same of 1st stage. If an input value exist all suction temperature of stages after 1st one will be considered at that value
</t>
    </r>
  </si>
  <si>
    <r>
      <t xml:space="preserve">- </t>
    </r>
    <r>
      <rPr>
        <u/>
        <sz val="12"/>
        <rFont val="Arial"/>
        <family val="2"/>
      </rPr>
      <t>Low/Medium/High Speed Compressor Models</t>
    </r>
    <r>
      <rPr>
        <sz val="12"/>
        <rFont val="Arial"/>
        <family val="2"/>
      </rPr>
      <t>:</t>
    </r>
  </si>
  <si>
    <t>Low speed models are OA, HA, HB, HD, HE, HF, HF3, HG, HG3</t>
  </si>
  <si>
    <t>Medium speed model is HES</t>
  </si>
  <si>
    <t xml:space="preserve">High Low speed models are HM, SHM, SHMB
</t>
  </si>
  <si>
    <r>
      <t xml:space="preserve">- </t>
    </r>
    <r>
      <rPr>
        <u/>
        <sz val="12"/>
        <rFont val="Arial"/>
        <family val="2"/>
      </rPr>
      <t>Gas Components</t>
    </r>
    <r>
      <rPr>
        <sz val="12"/>
        <rFont val="Arial"/>
        <family val="2"/>
      </rPr>
      <t xml:space="preserve">: input is percentage in Volume; complete list of gas components is available by "show" next to "OTHER GAS…" in row 76.
</t>
    </r>
  </si>
  <si>
    <t>The algorithm calculates the minimum number of stages to have discharge temperature of each stage within default limits (see item 7), then evaluates required cylinder bore for each stage (one cylinder for each stage within max available bore of relevant frame size regardless the cylinder type i.e. NCI, CS and FS) starting from smallest (OA) to biggest (HG3). Algorithm stops as soon as the required flow rate is achieved and the actual loads are covered by one frame size (as smallest as possible).</t>
  </si>
  <si>
    <t xml:space="preserve">The performed checks and resulting alerts are as follow:
1) if discharge operating pressure is &lt;58.96 Barg, no alert is raised;
</t>
  </si>
  <si>
    <r>
      <t xml:space="preserve">2) if discharge operating pressure is in a range between 58.96 and 90 Barg, the following alert will appear: </t>
    </r>
    <r>
      <rPr>
        <sz val="12"/>
        <color rgb="FFFF0000"/>
        <rFont val="Arial"/>
        <family val="2"/>
      </rPr>
      <t>FOR THE LIMIT ON THE PRESSURE MUST BE USED THE CYLINDER:  HG410NCI-NCT</t>
    </r>
    <r>
      <rPr>
        <sz val="12"/>
        <rFont val="Arial"/>
        <family val="2"/>
      </rPr>
      <t xml:space="preserve">;
</t>
    </r>
  </si>
  <si>
    <t>Workaround: insert a lower value in the maximum bore input for the automatic selection or enter lower cylinder bores in LightRCS inputs.</t>
  </si>
  <si>
    <r>
      <t xml:space="preserve">With suction temperature lower than </t>
    </r>
    <r>
      <rPr>
        <b/>
        <sz val="12"/>
        <rFont val="Arial"/>
        <family val="2"/>
      </rPr>
      <t>-5°C</t>
    </r>
    <r>
      <rPr>
        <sz val="12"/>
        <rFont val="Arial"/>
        <family val="2"/>
      </rPr>
      <t xml:space="preserve"> the service is considered at LOW temperature service like BOG and ETO00264 has to be followed.
</t>
    </r>
  </si>
  <si>
    <r>
      <t xml:space="preserve">- Frame </t>
    </r>
    <r>
      <rPr>
        <b/>
        <sz val="12"/>
        <rFont val="Arial"/>
        <family val="2"/>
      </rPr>
      <t>OC</t>
    </r>
    <r>
      <rPr>
        <sz val="12"/>
        <rFont val="Arial"/>
        <family val="2"/>
      </rPr>
      <t xml:space="preserve"> has been </t>
    </r>
    <r>
      <rPr>
        <b/>
        <sz val="12"/>
        <rFont val="Arial"/>
        <family val="2"/>
      </rPr>
      <t>removed</t>
    </r>
    <r>
      <rPr>
        <sz val="12"/>
        <rFont val="Arial"/>
        <family val="2"/>
      </rPr>
      <t xml:space="preserve"> respect to previous release because no more in RC new units portfolio;</t>
    </r>
  </si>
  <si>
    <r>
      <t xml:space="preserve">- With </t>
    </r>
    <r>
      <rPr>
        <b/>
        <sz val="12"/>
        <rFont val="Arial"/>
        <family val="2"/>
      </rPr>
      <t>NO LUBE</t>
    </r>
    <r>
      <rPr>
        <sz val="12"/>
        <rFont val="Arial"/>
        <family val="2"/>
      </rPr>
      <t xml:space="preserve"> Cylinders, following strokes are </t>
    </r>
    <r>
      <rPr>
        <b/>
        <sz val="12"/>
        <rFont val="Arial"/>
        <family val="2"/>
      </rPr>
      <t>not</t>
    </r>
    <r>
      <rPr>
        <sz val="12"/>
        <rFont val="Arial"/>
        <family val="2"/>
      </rPr>
      <t xml:space="preserve"> allowed:</t>
    </r>
  </si>
  <si>
    <t>* all LONG strokes</t>
  </si>
  <si>
    <t>* all EXTRALONG strokes</t>
  </si>
  <si>
    <t>* HG2 320mm (320mm could be applied upon eng approval)</t>
  </si>
  <si>
    <t xml:space="preserve">* HF3 320mm (320mm could be applied upon eng approval)
</t>
  </si>
  <si>
    <r>
      <t xml:space="preserve">- For </t>
    </r>
    <r>
      <rPr>
        <b/>
        <sz val="12"/>
        <rFont val="Arial"/>
        <family val="2"/>
      </rPr>
      <t>Medium Speed</t>
    </r>
    <r>
      <rPr>
        <sz val="12"/>
        <rFont val="Arial"/>
        <family val="2"/>
      </rPr>
      <t xml:space="preserve"> application speed no higher than 750 RPM is allowed; to comply with this, HES strokes larger than 200mm and 240mm are not available.
</t>
    </r>
  </si>
  <si>
    <r>
      <t xml:space="preserve">Calculation of process losses in the plant is according to following criteria:
</t>
    </r>
    <r>
      <rPr>
        <u/>
        <sz val="12"/>
        <rFont val="Arial"/>
        <family val="2"/>
      </rPr>
      <t>Each stage SUCTION and DISCHARGE:</t>
    </r>
  </si>
  <si>
    <t xml:space="preserve">- Volume Bottle pressure loss according to pag. 19 of DTR03.04.01;
- Volume Bottle Diaphragms pressure loss according to pag. 13 of DTR06.04.02;
- If actual operating pressure is &lt;= 4 BarA, additional 0.1 Bar of pressure loss is added as cylinder valves spring preload;
</t>
  </si>
  <si>
    <r>
      <rPr>
        <u/>
        <sz val="12"/>
        <rFont val="Arial"/>
        <family val="2"/>
      </rPr>
      <t>INTERSTAGE</t>
    </r>
    <r>
      <rPr>
        <sz val="12"/>
        <rFont val="Arial"/>
        <family val="2"/>
      </rPr>
      <t xml:space="preserve"> (if applicable)
- Pressure drop given by Separator+Heat-exchanger (water cooled)+Piping, calculated according to formula on page 19 of DTR03.04.01.
</t>
    </r>
  </si>
  <si>
    <t>LightRCS</t>
  </si>
  <si>
    <r>
      <t xml:space="preserve">The algorithm in LightRCS </t>
    </r>
    <r>
      <rPr>
        <b/>
        <sz val="12"/>
        <rFont val="Arial"/>
        <family val="2"/>
      </rPr>
      <t>might not reach the convergency in the flowrates, anyway the results are shown</t>
    </r>
    <r>
      <rPr>
        <sz val="12"/>
        <rFont val="Arial"/>
        <family val="2"/>
      </rPr>
      <t xml:space="preserve"> and a warning message is displayed: "</t>
    </r>
    <r>
      <rPr>
        <sz val="12"/>
        <color rgb="FFFF0000"/>
        <rFont val="Arial"/>
        <family val="2"/>
      </rPr>
      <t>FATAL ERROR: NO CONVERGENCE. THE RESULTS ARE NOT RELIABLE.
WORKAROUND: SPLIT THE SERVICE IN TWO SERVICES TO REDUCE No. OF STAGES.</t>
    </r>
    <r>
      <rPr>
        <sz val="12"/>
        <rFont val="Arial"/>
        <family val="2"/>
      </rPr>
      <t xml:space="preserve">"
</t>
    </r>
  </si>
  <si>
    <t>List of All Warnings Error Messages</t>
  </si>
  <si>
    <t>This is the list of messages resulting from the run of RC-Presizing</t>
  </si>
  <si>
    <t>ATTENTION: Redundant input data</t>
  </si>
  <si>
    <t>for Capacity of Service 1 - 2</t>
  </si>
  <si>
    <t>for Suction Pressure of Service 1 - 2</t>
  </si>
  <si>
    <t>for Discharge Pressure of Service 1 - 2</t>
  </si>
  <si>
    <t>for 1st Stg Suction Temperature of Service 1 - 2</t>
  </si>
  <si>
    <t>for Other stgs Suction Temperature of Service 1 - 2</t>
  </si>
  <si>
    <t>found inputs for 2 services, please select 2 services from drop-down</t>
  </si>
  <si>
    <t>If NO LUBE and Discharge Pressure &gt; 200 bar (or 2900 psia)  :</t>
  </si>
  <si>
    <t>ERROR: use LUBRICATED cylinders for Pressures &gt; 250 bar</t>
  </si>
  <si>
    <t>If NO LUBE and 150bara &lt; Discharge Pressure &lt;= 200bara  (or bewteen 2175psia and 2900psia):</t>
  </si>
  <si>
    <t>WARNING: FEASIBILITY FOR SPECIAL PISTON RINGS MATERIAL TO BE CHECKED WITH ENGINEERING</t>
  </si>
  <si>
    <t>If Discharge Pressure &gt; 350bara (or 4350 psia):</t>
  </si>
  <si>
    <t>ERROR: for Pressures &gt; 350 barA  o (4350 psia) =&gt; Selection by 'RCS2'</t>
  </si>
  <si>
    <t>if OutCompressorType = '***********':</t>
  </si>
  <si>
    <t>(FRAME SIZE not available)</t>
  </si>
  <si>
    <t>ATTENTION: FRAME SIZE NOT AVAILABLE - REDUCE THE CAPACITY</t>
  </si>
  <si>
    <t>If Suction Pressure &lt;= 4 bara:</t>
  </si>
  <si>
    <t>If 1st Stage Suction Temperature &lt; -5:</t>
  </si>
  <si>
    <t>For RC sizing with low suction temp. (BOG), refer to policy No. ETO00264</t>
  </si>
  <si>
    <t>If FRAME = 'HF3' and (Number of Cranks = 6 OR EM 60Hz):</t>
  </si>
  <si>
    <t>Preliminary Torsional / coupling check performed by Eng. department is mandatory</t>
  </si>
  <si>
    <t>If there is a dummy cylinder:</t>
  </si>
  <si>
    <t>If HG3, stroke 320mm and NO LUBE:</t>
  </si>
  <si>
    <t>HG serie 3 with 320 mm stroke can be selected for cylinder NO LUBE upon engineering department approval</t>
  </si>
  <si>
    <t>If H20 is present AND (fraction of CO2 &gt;=50% OR partial pressure of CO2&gt;1):</t>
  </si>
  <si>
    <t>WARNING: GAS PIPING AND PRESSURE VESSEL MATERIAL SELECTION OUT OF STANDARD DUE TO PRESENCE OF CO2 OR H2S WITH H2O IN SERVICE ##, PLEASE REFER TO DTR04.02.01</t>
  </si>
  <si>
    <t>If H20 is present AND (partial pressure of H2S &lt; 0.8 AND fraction of H2S &gt;= 3%) OR (partial pressure H2S &gt;= 0.8):</t>
  </si>
  <si>
    <t>If MW &gt; 23 AND (Medium Speed OR High Speed):</t>
  </si>
  <si>
    <t>ERROR: for M.W.&gt;23 and Medium/High Speed Compressors =&gt; Selection by 'RCS'</t>
  </si>
  <si>
    <t xml:space="preserve">For all frames:if NO LUBE, for strokes which are not the short ones:  </t>
  </si>
  <si>
    <t>ERROR: Frames require Lubrication</t>
  </si>
  <si>
    <t>If (Medium OR High) AND NO LUBE:</t>
  </si>
  <si>
    <t>ERROR: HIGH/MEDIUM SPEED Compressors are LUBRICATED only</t>
  </si>
  <si>
    <t>If Piston speed &gt; Allowable piston speed:</t>
  </si>
  <si>
    <t>ATTENTION: Piston Speed exceeds the limit speed m/s</t>
  </si>
  <si>
    <t>If Gas (effective) Rod Load &gt;  Max Rod Load</t>
  </si>
  <si>
    <t>WARNING: MAX ROD LOAD EXCEEDED (Compression)</t>
  </si>
  <si>
    <t>WARNING: MAX ROD LOAD EXCEEDED Tension</t>
  </si>
  <si>
    <t>If (MW &lt;=12 AND Adiab. Disch. Temp. &gt; 130) OR (MW  &gt; 12 AND Adiab. Disch. Temp. &gt; 140)</t>
  </si>
  <si>
    <t>WARNING: Discharge Temperature Exceeds the limit</t>
  </si>
  <si>
    <t>If GAS ENGINE AND  RpmLimit &gt; 750 AND medium speed:</t>
  </si>
  <si>
    <t>ERROR: In case of MEDIUM speed and GAS Engine, the imposed rpm must be 750 maximum.</t>
  </si>
  <si>
    <t>If RpmLimit &gt; 750 AND and medium speed:</t>
  </si>
  <si>
    <t>WARNING: In case of MEDIUM speed, the rpm limit will be considered equal to 800.</t>
  </si>
  <si>
    <t>If GAS ENGINE AND  RpmLimit &gt; 1200 AND High speed:</t>
  </si>
  <si>
    <t>ERROR: In case of HIGH speed and GAS Engine, the imposed rpm must be 1200 maximum.</t>
  </si>
  <si>
    <t>If RpmLimit &gt; 1200 AND High speed:</t>
  </si>
  <si>
    <t>WARNING: In case of HIGH speed, the rpm limit will be considered equal to 1200.</t>
  </si>
  <si>
    <t>If GAS ENGINE AND Low speed:</t>
  </si>
  <si>
    <t>ERROR: GAS Engine is not proper with LOW speed.</t>
  </si>
  <si>
    <t>Messages from Calc26p.exe:</t>
  </si>
  <si>
    <t>- discharge temperature greater than limit</t>
  </si>
  <si>
    <t>- frame size not found for power/crank: biggest avail set</t>
  </si>
  <si>
    <t>- cylinder diameter not found: biggest avail selected</t>
  </si>
  <si>
    <t>- load over allowable in performance calculation</t>
  </si>
  <si>
    <t>- frame not found: size and # of cylinder not matching</t>
  </si>
  <si>
    <t>- max frame size not sufficient for requirements</t>
  </si>
  <si>
    <t>- thermodynamic calculation does not converge</t>
  </si>
  <si>
    <t>FATAL ERROR: NO CONVERGENCE IN THERMODYNAMIC CALCULATION</t>
  </si>
  <si>
    <t>- error in input gas mixture</t>
  </si>
  <si>
    <t>FATAL ERROR IN THE INPUT OF GAS MIXTURE</t>
  </si>
  <si>
    <t>- number of stages greater than maximum</t>
  </si>
  <si>
    <t>FATAL ERROR: NUMBER OF STAGES GREATER THAN THE MAXIMUM</t>
  </si>
  <si>
    <t xml:space="preserve">- cylinders selection assembly details </t>
  </si>
  <si>
    <t>WARNING: CYLINDER SELECTION CANNOT BE MOUNTED ON THE FRAME</t>
  </si>
  <si>
    <t>- framesize is HES, selected cylinder is proper of HE</t>
  </si>
  <si>
    <t>- HG3 BFS cyl. preliminary data to be checked with RC-ENG</t>
  </si>
  <si>
    <t>NOISE DATASHEET</t>
  </si>
  <si>
    <t>Compressor Series</t>
  </si>
  <si>
    <t>Series “N” UPRATED in production</t>
  </si>
  <si>
    <t>COMPRESSOR TYPE:</t>
  </si>
  <si>
    <t>HA-2</t>
  </si>
  <si>
    <t># THROWS:</t>
  </si>
  <si>
    <t>Rated Power</t>
  </si>
  <si>
    <t>From DTR02.01.03</t>
  </si>
  <si>
    <t>Max Power per Throw</t>
  </si>
  <si>
    <t>Max RPM</t>
  </si>
  <si>
    <t>gir/min</t>
  </si>
  <si>
    <t>Max Installable Power</t>
  </si>
  <si>
    <t>Nmax</t>
  </si>
  <si>
    <t>From DTR12.02</t>
  </si>
  <si>
    <t>Ratio</t>
  </si>
  <si>
    <t>Ne/Nmax</t>
  </si>
  <si>
    <t>FIGURE</t>
  </si>
  <si>
    <t>C</t>
  </si>
  <si>
    <t>CURVE</t>
  </si>
  <si>
    <t>Compressor Noise</t>
  </si>
  <si>
    <t>dBA</t>
  </si>
  <si>
    <t xml:space="preserve">see motor spec. RM.... </t>
  </si>
  <si>
    <t>Motor Noise uloaded</t>
  </si>
  <si>
    <t>Motor Noise loaded</t>
  </si>
  <si>
    <t>Tot. Noise Compressor + Motor</t>
  </si>
  <si>
    <t>SOUND PRESSURE LEVEL</t>
  </si>
  <si>
    <t>Lp</t>
  </si>
  <si>
    <t>at  1 m.</t>
  </si>
  <si>
    <t xml:space="preserve"> "A"</t>
  </si>
  <si>
    <t>re: 20 micro Pa</t>
  </si>
  <si>
    <t>weight</t>
  </si>
  <si>
    <t>dB(A)</t>
  </si>
  <si>
    <t>Compressor</t>
  </si>
  <si>
    <t>Motor</t>
  </si>
  <si>
    <t>SPL motor uloaded +3</t>
  </si>
  <si>
    <t>Total</t>
  </si>
  <si>
    <t>Table to be copied into the file word</t>
  </si>
  <si>
    <t>8k</t>
  </si>
  <si>
    <t>4k</t>
  </si>
  <si>
    <t>2k</t>
  </si>
  <si>
    <t>1k</t>
  </si>
  <si>
    <t xml:space="preserve">Serie “N” UPRATED in produzione </t>
  </si>
  <si>
    <t>serie_NU</t>
  </si>
  <si>
    <t>TIPO</t>
  </si>
  <si>
    <t>MIN. NUMERO</t>
  </si>
  <si>
    <t>STEP</t>
  </si>
  <si>
    <t>MAX. NUMERO</t>
  </si>
  <si>
    <t>SPINTE</t>
  </si>
  <si>
    <t>MAX. VELOCITA’ DI</t>
  </si>
  <si>
    <t>MAX. POTENZA</t>
  </si>
  <si>
    <t>Series “N” in production</t>
  </si>
  <si>
    <t>serie_N</t>
  </si>
  <si>
    <t>INCASTELL.</t>
  </si>
  <si>
    <t>COLLI</t>
  </si>
  <si>
    <t>AMMISSIBILI [N]</t>
  </si>
  <si>
    <t>ROTAZIONE</t>
  </si>
  <si>
    <t>PER COLLO</t>
  </si>
  <si>
    <t>Series “N” out of production</t>
  </si>
  <si>
    <t>serie_NF</t>
  </si>
  <si>
    <t xml:space="preserve"> </t>
  </si>
  <si>
    <t>GAS</t>
  </si>
  <si>
    <t>[giri/1’]</t>
  </si>
  <si>
    <t>[kW]</t>
  </si>
  <si>
    <t xml:space="preserve">Series “T” </t>
  </si>
  <si>
    <t>serie_T</t>
  </si>
  <si>
    <t>HB-2</t>
  </si>
  <si>
    <t>HD-2</t>
  </si>
  <si>
    <t>velocità</t>
  </si>
  <si>
    <t>potenza</t>
  </si>
  <si>
    <t>incastellatura</t>
  </si>
  <si>
    <t>n°colli</t>
  </si>
  <si>
    <t>HE-2</t>
  </si>
  <si>
    <t>HF-2</t>
  </si>
  <si>
    <t>HF-3</t>
  </si>
  <si>
    <t>HG-2</t>
  </si>
  <si>
    <t>HG-3</t>
  </si>
  <si>
    <t>SHM-3</t>
  </si>
  <si>
    <t>SHMB-3</t>
  </si>
  <si>
    <t>HE-S</t>
  </si>
  <si>
    <t>PK-3</t>
  </si>
  <si>
    <t xml:space="preserve">Serie “N” in produzione </t>
  </si>
  <si>
    <t>AVTN-1</t>
  </si>
  <si>
    <t>BVTN-2</t>
  </si>
  <si>
    <t>OA-1</t>
  </si>
  <si>
    <t>PK-2</t>
  </si>
  <si>
    <t>PH-2</t>
  </si>
  <si>
    <t xml:space="preserve">Serie “N” fuori produzione </t>
  </si>
  <si>
    <t>BVTN-1</t>
  </si>
  <si>
    <t>VA-1</t>
  </si>
  <si>
    <t>OZ-1</t>
  </si>
  <si>
    <t>OZ-2</t>
  </si>
  <si>
    <t>OC-1</t>
  </si>
  <si>
    <t>HO-1</t>
  </si>
  <si>
    <t>HO-2</t>
  </si>
  <si>
    <t>HA-1</t>
  </si>
  <si>
    <t>HB-1</t>
  </si>
  <si>
    <t>HD-1</t>
  </si>
  <si>
    <t>HE-1</t>
  </si>
  <si>
    <t>HF-1</t>
  </si>
  <si>
    <t>HG-1 (**)</t>
  </si>
  <si>
    <t>HM-1</t>
  </si>
  <si>
    <t>SHM-1</t>
  </si>
  <si>
    <t>SHMB-1</t>
  </si>
  <si>
    <t>SHM-2</t>
  </si>
  <si>
    <t>SHMB-2</t>
  </si>
  <si>
    <t xml:space="preserve">Serie “T” </t>
  </si>
  <si>
    <t>OZ-T</t>
  </si>
  <si>
    <t>OA-T</t>
  </si>
  <si>
    <t>OC-T</t>
  </si>
  <si>
    <t>HA-T</t>
  </si>
  <si>
    <t>HB-T</t>
  </si>
  <si>
    <t>HC-T</t>
  </si>
  <si>
    <t>HD-T</t>
  </si>
  <si>
    <t>HE-T</t>
  </si>
  <si>
    <t>HF-T</t>
  </si>
  <si>
    <t>HG-T</t>
  </si>
  <si>
    <t xml:space="preserve">_x000D_
HG-3_x000D_
</t>
  </si>
  <si>
    <t>Figure C</t>
  </si>
  <si>
    <t>NOISE DIAGRAMS WITH NOISE RATING CURVES.</t>
  </si>
  <si>
    <t>Curve-1C 77 DBA</t>
  </si>
  <si>
    <t>Curve-2C 79 DBA</t>
  </si>
  <si>
    <t>Curve-3C 81 DBA</t>
  </si>
  <si>
    <t>Curve-4C 83 DBA</t>
  </si>
  <si>
    <t>Curve-5C 85 DBA</t>
  </si>
  <si>
    <t>Frequency (Hz)</t>
  </si>
  <si>
    <t>Train Noise @1m</t>
  </si>
  <si>
    <t>DATI COOERENTI CON BLCONSTR.f 17/02/2021</t>
  </si>
  <si>
    <t>Select a Frame</t>
  </si>
  <si>
    <t>Rev 5.0.0.8</t>
  </si>
  <si>
    <t xml:space="preserve">EM Noise Level dBA      </t>
  </si>
  <si>
    <t>Bore lim</t>
  </si>
  <si>
    <t>Max Bore per Stages</t>
  </si>
  <si>
    <t>Service3</t>
  </si>
  <si>
    <t>SHORT Stroke</t>
  </si>
  <si>
    <t>Head-end side clearance min (%)</t>
  </si>
  <si>
    <t>Crank-end side clearance min (%)</t>
  </si>
  <si>
    <t>Average</t>
  </si>
  <si>
    <t>LONG Stroke</t>
  </si>
  <si>
    <t>Srv/Stg</t>
  </si>
  <si>
    <r>
      <t>Maximum Bore 
per Stage [</t>
    </r>
    <r>
      <rPr>
        <sz val="10"/>
        <color indexed="8"/>
        <rFont val="Arial"/>
        <family val="2"/>
      </rPr>
      <t>mm</t>
    </r>
    <r>
      <rPr>
        <b/>
        <sz val="10"/>
        <color indexed="8"/>
        <rFont val="Arial"/>
        <family val="2"/>
      </rPr>
      <t>]</t>
    </r>
  </si>
  <si>
    <r>
      <t>Maximum Bore 
All Stages [</t>
    </r>
    <r>
      <rPr>
        <sz val="10"/>
        <color indexed="8"/>
        <rFont val="Arial"/>
        <family val="2"/>
      </rPr>
      <t>mm</t>
    </r>
    <r>
      <rPr>
        <b/>
        <sz val="10"/>
        <color indexed="8"/>
        <rFont val="Arial"/>
        <family val="2"/>
      </rPr>
      <t>]</t>
    </r>
  </si>
  <si>
    <t>EXTRA-SHORT Stroke</t>
  </si>
  <si>
    <t>EXTRA-LONG Stroke</t>
  </si>
  <si>
    <t>HM-SHM-SHMB</t>
  </si>
  <si>
    <t>Initial value is the Min Clearance Volume among all steps for the selected Cyl. Diameter; manually editable</t>
  </si>
  <si>
    <t xml:space="preserve">C26P  Vers.2.5.0.6   </t>
  </si>
  <si>
    <t>Dba (Based on insulated V.B. configuration)</t>
  </si>
  <si>
    <t>dBA (Based on insulated V.B. configuration)</t>
  </si>
  <si>
    <t>Tot. Noise Comp. +  Motor</t>
  </si>
  <si>
    <t>The computation of the Compressor Noise plus the Motor via DTR02.01.03 usign Figure C. 
If the configuration is different, use the appropriate tools for calculating the noise</t>
  </si>
  <si>
    <t>1,2-BUTADIENE</t>
  </si>
  <si>
    <t>1-BUTENE</t>
  </si>
  <si>
    <t>22-DIMETHYLBUTAN</t>
  </si>
  <si>
    <t>23-DIMETHYLBUTAN</t>
  </si>
  <si>
    <t>2-METHYL-1-BUTEN</t>
  </si>
  <si>
    <t>2-METHYL-2-BUTEN</t>
  </si>
  <si>
    <t>3-METHYL-1-BUTEN</t>
  </si>
  <si>
    <t>ISOBUTYLENE</t>
  </si>
  <si>
    <t>I-PROPYL-CHLORID</t>
  </si>
  <si>
    <t>METHYLETHYLKETON</t>
  </si>
  <si>
    <t>NEOPENTANE</t>
  </si>
  <si>
    <t>PROPYLEN-CHLORID</t>
  </si>
  <si>
    <t>WATER</t>
  </si>
  <si>
    <t xml:space="preserve">      1/ 1</t>
  </si>
  <si>
    <t xml:space="preserve">      1/ 2</t>
  </si>
  <si>
    <t>Induction 50Hz</t>
  </si>
  <si>
    <t xml:space="preserve">         1</t>
  </si>
  <si>
    <t>Min. Mean Cyl. Clearance %</t>
  </si>
  <si>
    <t>WARNING - SEE NOTES</t>
  </si>
  <si>
    <t>From Preselector</t>
  </si>
  <si>
    <t>WARNING: Feasibility for special piston rings material due to DP&gt;100 Bar to bo checked with engigneering</t>
  </si>
  <si>
    <t>WARNING: Feasibility for special piston rings material to bo checked with engigneering</t>
  </si>
  <si>
    <t>2HE/2</t>
  </si>
  <si>
    <t>452 kW</t>
  </si>
  <si>
    <t>PTFE</t>
  </si>
  <si>
    <t>SS</t>
  </si>
  <si>
    <t>number of machine required:</t>
  </si>
  <si>
    <t>Type of Installation</t>
  </si>
  <si>
    <t>Scope of supply</t>
  </si>
  <si>
    <t>PLC required?</t>
  </si>
  <si>
    <t>- YES
- NO</t>
  </si>
  <si>
    <t>Separator?</t>
  </si>
  <si>
    <t>Gas Cooler?</t>
  </si>
  <si>
    <t xml:space="preserve">Machine name </t>
  </si>
  <si>
    <t>/</t>
  </si>
  <si>
    <t>number of crank
it could be a number from 1 to 12</t>
  </si>
  <si>
    <t>frame size
OA
HA
HB
HD
HE
HF
HG
to be cheched also the series of the frame (B17 Out Put data)</t>
  </si>
  <si>
    <t>number of stages
depending number of stages could be a string like this: X-N-Y
number of stages is the sum of all the number after the /</t>
  </si>
  <si>
    <t>- Foundation Mounted
                                                                                                                                                                                                                                                        - Skid</t>
  </si>
  <si>
    <t>- YES (Local without Logic)
- YES (Remote)
- YES (Local + Remote)
- NO</t>
  </si>
  <si>
    <t>Piping</t>
  </si>
  <si>
    <t>Maximum Bore 
All Stages [mm]</t>
  </si>
  <si>
    <t>Maximum Bore 
per Stage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</si>
</sst>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0.0"/>
    <numFmt numFmtId="165" formatCode="0.000"/>
    <numFmt numFmtId="166" formatCode="mmmm\ d\,\ yyyy"/>
    <numFmt numFmtId="167" formatCode="#\ ###.00"/>
    <numFmt numFmtId="168" formatCode="#\ ##0"/>
    <numFmt numFmtId="169" formatCode="#\ ##0.00"/>
    <numFmt numFmtId="170" formatCode="###.00"/>
    <numFmt numFmtId="171" formatCode="###0"/>
    <numFmt numFmtId="172" formatCode="####.00"/>
    <numFmt numFmtId="173" formatCode="0.00#"/>
    <numFmt numFmtId="174" formatCode="mmm\-dd\-yyyy\ hh:mm"/>
    <numFmt numFmtId="175" formatCode="##0.00"/>
    <numFmt numFmtId="176" formatCode="mmm\-dd\-yyyy"/>
    <numFmt numFmtId="177" formatCode="0.00;\-0.00;&quot;&quot;"/>
    <numFmt numFmtId="178" formatCode="0.0000"/>
    <numFmt numFmtId="179" formatCode="0.000000"/>
    <numFmt numFmtId="180" formatCode="0.00;0.00;&quot;&quot;"/>
    <numFmt numFmtId="181" formatCode="0;\-0;&quot;&quot;"/>
    <numFmt numFmtId="182" formatCode="#,##0;\-#,##0;&quot;&quot;"/>
    <numFmt numFmtId="183" formatCode="#,##0.0\ ;\-#,##0.0;&quot;&quot;"/>
    <numFmt numFmtId="184" formatCode="0.0;\-0.0;&quot;&quot;"/>
    <numFmt numFmtId="185" formatCode="#,##0.0;\-#,##0.0;&quot;&quot;"/>
    <numFmt numFmtId="186" formatCode="0;0;&quot;&quot;"/>
    <numFmt numFmtId="187" formatCode="[$-409]d\-mmm\-yy;@"/>
    <numFmt numFmtId="188" formatCode="0.0%"/>
  </numFmts>
  <fonts count="92">
    <font>
      <sz val="10"/>
      <name val="Arial"/>
    </font>
    <font>
      <b/>
      <sz val="10"/>
      <name val="Arial"/>
      <family val="2"/>
    </font>
    <font>
      <b/>
      <sz val="10"/>
      <name val="Arial"/>
      <family val="2"/>
    </font>
    <font>
      <b/>
      <sz val="10"/>
      <name val="MS Sans Serif"/>
      <family val="2"/>
    </font>
    <font>
      <b/>
      <sz val="10"/>
      <color indexed="10"/>
      <name val="Arial"/>
      <family val="2"/>
    </font>
    <font>
      <sz val="9"/>
      <name val="Arial"/>
      <family val="2"/>
    </font>
    <font>
      <b/>
      <sz val="7"/>
      <name val="Arial"/>
      <family val="2"/>
    </font>
    <font>
      <b/>
      <sz val="9"/>
      <name val="Arial"/>
      <family val="2"/>
    </font>
    <font>
      <sz val="10"/>
      <color indexed="8"/>
      <name val="Arial"/>
      <family val="2"/>
    </font>
    <font>
      <sz val="10"/>
      <name val="Arial"/>
      <family val="2"/>
    </font>
    <font>
      <b/>
      <sz val="10"/>
      <name val="Arial Narrow"/>
      <family val="2"/>
    </font>
    <font>
      <sz val="10"/>
      <color indexed="12"/>
      <name val="Arial"/>
      <family val="2"/>
    </font>
    <font>
      <b/>
      <sz val="10"/>
      <color indexed="8"/>
      <name val="Arial"/>
      <family val="2"/>
    </font>
    <font>
      <sz val="9"/>
      <name val="Arial"/>
      <family val="2"/>
    </font>
    <font>
      <b/>
      <sz val="14"/>
      <color indexed="8"/>
      <name val="Arial"/>
      <family val="2"/>
    </font>
    <font>
      <sz val="14"/>
      <name val="Arial"/>
      <family val="2"/>
    </font>
    <font>
      <b/>
      <sz val="10"/>
      <color indexed="12"/>
      <name val="Arial"/>
      <family val="2"/>
    </font>
    <font>
      <b/>
      <sz val="12"/>
      <name val="Arial"/>
      <family val="2"/>
    </font>
    <font>
      <b/>
      <sz val="18"/>
      <color indexed="10"/>
      <name val="Arial"/>
      <family val="2"/>
    </font>
    <font>
      <b/>
      <sz val="10"/>
      <name val="GE Inspira"/>
      <family val="2"/>
    </font>
    <font>
      <b/>
      <sz val="18"/>
      <name val="GE Inspira"/>
      <family val="2"/>
    </font>
    <font>
      <b/>
      <sz val="10"/>
      <name val="GE Inspira Small Caps"/>
      <family val="2"/>
    </font>
    <font>
      <sz val="4"/>
      <name val="Arial"/>
      <family val="2"/>
    </font>
    <font>
      <b/>
      <i/>
      <sz val="10"/>
      <name val="Arial"/>
      <family val="2"/>
    </font>
    <font>
      <b/>
      <u/>
      <sz val="19"/>
      <color indexed="20"/>
      <name val="Georgia"/>
      <family val="1"/>
    </font>
    <font>
      <b/>
      <sz val="10"/>
      <color indexed="23"/>
      <name val="Arial"/>
      <family val="2"/>
    </font>
    <font>
      <b/>
      <sz val="10"/>
      <color indexed="22"/>
      <name val="Arial"/>
      <family val="2"/>
    </font>
    <font>
      <sz val="10"/>
      <color indexed="22"/>
      <name val="Arial"/>
      <family val="2"/>
    </font>
    <font>
      <sz val="10"/>
      <name val="Courier New"/>
      <family val="3"/>
    </font>
    <font>
      <b/>
      <sz val="10"/>
      <name val="Courier New"/>
      <family val="3"/>
    </font>
    <font>
      <b/>
      <sz val="9"/>
      <name val="Arial"/>
      <family val="2"/>
    </font>
    <font>
      <sz val="10"/>
      <color rgb="FF000000"/>
      <name val="Arial"/>
      <family val="2"/>
    </font>
    <font>
      <sz val="8"/>
      <color rgb="FF000000"/>
      <name val="Arial"/>
      <family val="2"/>
    </font>
    <font>
      <sz val="50"/>
      <color rgb="FF0070C0"/>
      <name val="GELogoFont"/>
    </font>
    <font>
      <b/>
      <sz val="20"/>
      <color rgb="FF0070C0"/>
      <name val="GE Inspira"/>
      <family val="2"/>
    </font>
    <font>
      <b/>
      <sz val="11"/>
      <color rgb="FF0070C0"/>
      <name val="GE Inspira"/>
      <family val="2"/>
    </font>
    <font>
      <b/>
      <sz val="20"/>
      <color indexed="12"/>
      <name val="Arial"/>
      <family val="2"/>
    </font>
    <font>
      <sz val="20"/>
      <color indexed="12"/>
      <name val="Arial"/>
      <family val="2"/>
    </font>
    <font>
      <b/>
      <sz val="14"/>
      <color indexed="12"/>
      <name val="Arial"/>
      <family val="2"/>
    </font>
    <font>
      <sz val="10"/>
      <color theme="0" tint="-4.9989318521683403E-2"/>
      <name val="Arial"/>
      <family val="2"/>
    </font>
    <font>
      <sz val="9.5"/>
      <name val="Arial"/>
      <family val="2"/>
    </font>
    <font>
      <b/>
      <sz val="8"/>
      <name val="Arial"/>
      <family val="2"/>
    </font>
    <font>
      <b/>
      <sz val="18"/>
      <name val="Arial"/>
      <family val="2"/>
    </font>
    <font>
      <b/>
      <sz val="10"/>
      <color rgb="FFFF0000"/>
      <name val="Arial"/>
      <family val="2"/>
    </font>
    <font>
      <sz val="10"/>
      <color rgb="FFFF0000"/>
      <name val="Arial"/>
      <family val="2"/>
    </font>
    <font>
      <sz val="10"/>
      <color theme="4"/>
      <name val="Arial"/>
      <family val="2"/>
    </font>
    <font>
      <sz val="10"/>
      <color theme="9"/>
      <name val="Arial"/>
      <family val="2"/>
    </font>
    <font>
      <strike/>
      <sz val="10"/>
      <name val="Arial"/>
      <family val="2"/>
    </font>
    <font>
      <sz val="10"/>
      <name val="MS Sans Serif"/>
      <family val="2"/>
    </font>
    <font>
      <sz val="10"/>
      <color indexed="23"/>
      <name val="Arial"/>
      <family val="2"/>
    </font>
    <font>
      <sz val="16"/>
      <color indexed="23"/>
      <name val="Arial"/>
      <family val="2"/>
    </font>
    <font>
      <sz val="8"/>
      <name val="Arial"/>
      <family val="2"/>
    </font>
    <font>
      <sz val="10"/>
      <color indexed="10"/>
      <name val="Arial"/>
      <family val="2"/>
    </font>
    <font>
      <sz val="18"/>
      <name val="Arial"/>
      <family val="2"/>
    </font>
    <font>
      <sz val="16"/>
      <name val="Arial"/>
      <family val="2"/>
    </font>
    <font>
      <u/>
      <sz val="8"/>
      <name val="Arial"/>
      <family val="2"/>
    </font>
    <font>
      <b/>
      <sz val="10"/>
      <color rgb="FFFF0000"/>
      <name val="Arial Narrow"/>
      <family val="2"/>
    </font>
    <font>
      <b/>
      <sz val="11"/>
      <color theme="1"/>
      <name val="Arial"/>
      <family val="2"/>
    </font>
    <font>
      <b/>
      <sz val="11"/>
      <color rgb="FFFF0000"/>
      <name val="Arial Narrow"/>
      <family val="2"/>
    </font>
    <font>
      <sz val="10"/>
      <name val="Wingdings"/>
      <charset val="2"/>
    </font>
    <font>
      <sz val="11"/>
      <color rgb="FF006100"/>
      <name val="Calibri"/>
      <family val="2"/>
      <scheme val="minor"/>
    </font>
    <font>
      <sz val="10"/>
      <color rgb="FF0070C0"/>
      <name val="Arial"/>
      <family val="2"/>
    </font>
    <font>
      <sz val="9"/>
      <color indexed="81"/>
      <name val="Tahoma"/>
      <family val="2"/>
    </font>
    <font>
      <b/>
      <sz val="9"/>
      <color indexed="81"/>
      <name val="Tahoma"/>
      <family val="2"/>
    </font>
    <font>
      <b/>
      <sz val="10"/>
      <color theme="1"/>
      <name val="Arial"/>
      <family val="2"/>
    </font>
    <font>
      <b/>
      <sz val="16"/>
      <color indexed="10"/>
      <name val="Arial"/>
      <family val="2"/>
    </font>
    <font>
      <b/>
      <i/>
      <sz val="12"/>
      <name val="Arial"/>
      <family val="2"/>
    </font>
    <font>
      <sz val="12"/>
      <name val="Arial"/>
      <family val="2"/>
    </font>
    <font>
      <u/>
      <sz val="12"/>
      <name val="Arial"/>
      <family val="2"/>
    </font>
    <font>
      <sz val="12"/>
      <name val="Courier New"/>
      <family val="3"/>
    </font>
    <font>
      <sz val="12"/>
      <color rgb="FFFF0000"/>
      <name val="Arial"/>
      <family val="2"/>
    </font>
    <font>
      <sz val="11"/>
      <color theme="1"/>
      <name val="Arial"/>
      <family val="2"/>
    </font>
    <font>
      <sz val="11"/>
      <color rgb="FFFF0000"/>
      <name val="Arial"/>
      <family val="2"/>
    </font>
    <font>
      <sz val="11"/>
      <color rgb="FFFF6600"/>
      <name val="Arial"/>
      <family val="2"/>
    </font>
    <font>
      <sz val="11"/>
      <color theme="5"/>
      <name val="Arial"/>
      <family val="2"/>
    </font>
    <font>
      <sz val="11"/>
      <color theme="0" tint="-0.34998626667073579"/>
      <name val="Arial"/>
      <family val="2"/>
    </font>
    <font>
      <sz val="11"/>
      <color rgb="FF006100"/>
      <name val="Arial"/>
      <family val="2"/>
    </font>
    <font>
      <sz val="11"/>
      <name val="Arial"/>
      <family val="2"/>
    </font>
    <font>
      <sz val="11"/>
      <color rgb="FF00B050"/>
      <name val="Arial"/>
      <family val="2"/>
    </font>
    <font>
      <b/>
      <sz val="20"/>
      <name val="Arial"/>
      <family val="2"/>
    </font>
    <font>
      <b/>
      <u/>
      <sz val="10"/>
      <name val="Arial"/>
      <family val="2"/>
    </font>
    <font>
      <b/>
      <sz val="10"/>
      <color indexed="40"/>
      <name val="Arial"/>
      <family val="2"/>
    </font>
    <font>
      <sz val="10"/>
      <color indexed="40"/>
      <name val="Arial"/>
      <family val="2"/>
    </font>
    <font>
      <b/>
      <sz val="12"/>
      <color indexed="9"/>
      <name val="Arial"/>
      <family val="2"/>
    </font>
    <font>
      <sz val="10"/>
      <color indexed="9"/>
      <name val="Arial"/>
      <family val="2"/>
    </font>
    <font>
      <b/>
      <sz val="14"/>
      <name val="Arial"/>
      <family val="2"/>
    </font>
    <font>
      <sz val="10"/>
      <name val="MS Sans Serif"/>
    </font>
    <font>
      <b/>
      <sz val="10"/>
      <color indexed="81"/>
      <name val="Tahoma"/>
      <family val="2"/>
    </font>
    <font>
      <sz val="10"/>
      <color indexed="81"/>
      <name val="Tahoma"/>
      <family val="2"/>
    </font>
    <font>
      <b/>
      <sz val="11"/>
      <name val="Arial Narrow"/>
      <family val="2"/>
    </font>
    <font>
      <sz val="10"/>
      <name val="Arial Narrow"/>
      <family val="2"/>
    </font>
    <font>
      <sz val="10"/>
      <color rgb="FF00B050"/>
      <name val="Arial"/>
      <family val="2"/>
    </font>
  </fonts>
  <fills count="21">
    <fill>
      <patternFill patternType="none"/>
    </fill>
    <fill>
      <patternFill patternType="gray125"/>
    </fill>
    <fill>
      <patternFill patternType="solid">
        <fgColor indexed="47"/>
        <bgColor indexed="64"/>
      </patternFill>
    </fill>
    <fill>
      <patternFill patternType="solid">
        <fgColor indexed="44"/>
        <bgColor indexed="64"/>
      </patternFill>
    </fill>
    <fill>
      <patternFill patternType="solid">
        <fgColor indexed="43"/>
        <bgColor indexed="64"/>
      </patternFill>
    </fill>
    <fill>
      <patternFill patternType="solid">
        <fgColor indexed="42"/>
        <bgColor indexed="64"/>
      </patternFill>
    </fill>
    <fill>
      <patternFill patternType="solid">
        <fgColor indexed="8"/>
        <bgColor indexed="64"/>
      </patternFill>
    </fill>
    <fill>
      <patternFill patternType="solid">
        <fgColor indexed="22"/>
        <bgColor indexed="64"/>
      </patternFill>
    </fill>
    <fill>
      <patternFill patternType="gray125">
        <fgColor indexed="13"/>
      </patternFill>
    </fill>
    <fill>
      <patternFill patternType="solid">
        <fgColor rgb="FFCCFFCC"/>
        <bgColor indexed="64"/>
      </patternFill>
    </fill>
    <fill>
      <patternFill patternType="solid">
        <fgColor rgb="FFFFFF99"/>
        <bgColor indexed="64"/>
      </patternFill>
    </fill>
    <fill>
      <patternFill patternType="solid">
        <fgColor theme="1"/>
        <bgColor indexed="64"/>
      </patternFill>
    </fill>
    <fill>
      <patternFill patternType="solid">
        <fgColor theme="0" tint="-4.9989318521683403E-2"/>
        <bgColor indexed="64"/>
      </patternFill>
    </fill>
    <fill>
      <patternFill patternType="solid">
        <fgColor rgb="FFC6EFCE"/>
      </patternFill>
    </fill>
    <fill>
      <patternFill patternType="solid">
        <fgColor theme="0" tint="-0.14999847407452621"/>
        <bgColor indexed="64"/>
      </patternFill>
    </fill>
    <fill>
      <patternFill patternType="solid">
        <fgColor rgb="FFFFFF00"/>
        <bgColor indexed="64"/>
      </patternFill>
    </fill>
    <fill>
      <patternFill patternType="solid">
        <fgColor indexed="46"/>
        <bgColor indexed="64"/>
      </patternFill>
    </fill>
    <fill>
      <patternFill patternType="solid">
        <fgColor indexed="40"/>
        <bgColor indexed="64"/>
      </patternFill>
    </fill>
    <fill>
      <patternFill patternType="solid">
        <fgColor indexed="52"/>
        <bgColor indexed="64"/>
      </patternFill>
    </fill>
    <fill>
      <patternFill patternType="solid">
        <fgColor indexed="9"/>
        <bgColor indexed="64"/>
      </patternFill>
    </fill>
    <fill>
      <patternFill patternType="solid">
        <fgColor rgb="FFFF0000"/>
        <bgColor indexed="64"/>
      </patternFill>
    </fill>
  </fills>
  <borders count="158">
    <border>
      <left/>
      <right/>
      <top/>
      <bottom/>
      <diagonal/>
    </border>
    <border>
      <left style="thin">
        <color indexed="63"/>
      </left>
      <right style="thin">
        <color indexed="63"/>
      </right>
      <top style="thin">
        <color indexed="63"/>
      </top>
      <bottom style="thin">
        <color indexed="63"/>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ck">
        <color indexed="55"/>
      </top>
      <bottom/>
      <diagonal/>
    </border>
    <border>
      <left/>
      <right/>
      <top/>
      <bottom style="thick">
        <color indexed="55"/>
      </bottom>
      <diagonal/>
    </border>
    <border>
      <left/>
      <right/>
      <top style="thin">
        <color indexed="64"/>
      </top>
      <bottom style="thin">
        <color indexed="64"/>
      </bottom>
      <diagonal/>
    </border>
    <border>
      <left/>
      <right style="thin">
        <color indexed="64"/>
      </right>
      <top style="thin">
        <color indexed="64"/>
      </top>
      <bottom style="thin">
        <color indexed="2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thick">
        <color indexed="55"/>
      </left>
      <right/>
      <top style="thick">
        <color indexed="55"/>
      </top>
      <bottom/>
      <diagonal/>
    </border>
    <border>
      <left/>
      <right style="thick">
        <color indexed="55"/>
      </right>
      <top style="thick">
        <color indexed="55"/>
      </top>
      <bottom/>
      <diagonal/>
    </border>
    <border>
      <left style="thick">
        <color indexed="55"/>
      </left>
      <right/>
      <top/>
      <bottom/>
      <diagonal/>
    </border>
    <border>
      <left/>
      <right style="thick">
        <color indexed="55"/>
      </right>
      <top/>
      <bottom/>
      <diagonal/>
    </border>
    <border>
      <left style="thick">
        <color indexed="55"/>
      </left>
      <right/>
      <top/>
      <bottom style="thick">
        <color indexed="55"/>
      </bottom>
      <diagonal/>
    </border>
    <border>
      <left/>
      <right style="thick">
        <color indexed="55"/>
      </right>
      <top/>
      <bottom style="thick">
        <color indexed="55"/>
      </bottom>
      <diagonal/>
    </border>
    <border>
      <left style="thick">
        <color indexed="63"/>
      </left>
      <right style="thick">
        <color indexed="63"/>
      </right>
      <top style="thick">
        <color indexed="63"/>
      </top>
      <bottom style="thick">
        <color indexed="63"/>
      </bottom>
      <diagonal/>
    </border>
    <border>
      <left style="thick">
        <color indexed="63"/>
      </left>
      <right/>
      <top style="thick">
        <color indexed="63"/>
      </top>
      <bottom style="thick">
        <color indexed="63"/>
      </bottom>
      <diagonal/>
    </border>
    <border>
      <left/>
      <right style="thick">
        <color indexed="63"/>
      </right>
      <top style="thick">
        <color indexed="63"/>
      </top>
      <bottom style="thick">
        <color indexed="63"/>
      </bottom>
      <diagonal/>
    </border>
    <border>
      <left style="thick">
        <color indexed="23"/>
      </left>
      <right/>
      <top style="thick">
        <color indexed="23"/>
      </top>
      <bottom/>
      <diagonal/>
    </border>
    <border>
      <left/>
      <right/>
      <top style="thick">
        <color indexed="23"/>
      </top>
      <bottom/>
      <diagonal/>
    </border>
    <border>
      <left/>
      <right style="thick">
        <color indexed="23"/>
      </right>
      <top style="thick">
        <color indexed="23"/>
      </top>
      <bottom/>
      <diagonal/>
    </border>
    <border>
      <left style="thick">
        <color indexed="23"/>
      </left>
      <right/>
      <top/>
      <bottom/>
      <diagonal/>
    </border>
    <border>
      <left/>
      <right style="thick">
        <color indexed="23"/>
      </right>
      <top/>
      <bottom/>
      <diagonal/>
    </border>
    <border>
      <left style="thick">
        <color indexed="23"/>
      </left>
      <right/>
      <top/>
      <bottom style="thick">
        <color indexed="23"/>
      </bottom>
      <diagonal/>
    </border>
    <border>
      <left/>
      <right/>
      <top/>
      <bottom style="thick">
        <color indexed="23"/>
      </bottom>
      <diagonal/>
    </border>
    <border>
      <left/>
      <right style="thick">
        <color indexed="23"/>
      </right>
      <top/>
      <bottom style="thick">
        <color indexed="23"/>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style="double">
        <color indexed="20"/>
      </left>
      <right/>
      <top style="double">
        <color indexed="20"/>
      </top>
      <bottom/>
      <diagonal/>
    </border>
    <border>
      <left/>
      <right/>
      <top style="double">
        <color indexed="20"/>
      </top>
      <bottom/>
      <diagonal/>
    </border>
    <border>
      <left/>
      <right style="double">
        <color indexed="20"/>
      </right>
      <top style="double">
        <color indexed="20"/>
      </top>
      <bottom/>
      <diagonal/>
    </border>
    <border>
      <left style="double">
        <color indexed="20"/>
      </left>
      <right/>
      <top/>
      <bottom/>
      <diagonal/>
    </border>
    <border>
      <left/>
      <right style="double">
        <color indexed="20"/>
      </right>
      <top/>
      <bottom/>
      <diagonal/>
    </border>
    <border>
      <left style="double">
        <color indexed="20"/>
      </left>
      <right/>
      <top/>
      <bottom style="double">
        <color indexed="20"/>
      </bottom>
      <diagonal/>
    </border>
    <border>
      <left/>
      <right/>
      <top/>
      <bottom style="double">
        <color indexed="20"/>
      </bottom>
      <diagonal/>
    </border>
    <border>
      <left/>
      <right style="double">
        <color indexed="20"/>
      </right>
      <top/>
      <bottom style="double">
        <color indexed="20"/>
      </bottom>
      <diagonal/>
    </border>
    <border>
      <left style="thin">
        <color indexed="64"/>
      </left>
      <right/>
      <top style="thin">
        <color indexed="47"/>
      </top>
      <bottom style="thin">
        <color indexed="64"/>
      </bottom>
      <diagonal/>
    </border>
    <border>
      <left/>
      <right style="thin">
        <color indexed="64"/>
      </right>
      <top style="thin">
        <color indexed="47"/>
      </top>
      <bottom style="thin">
        <color indexed="64"/>
      </bottom>
      <diagonal/>
    </border>
    <border>
      <left/>
      <right/>
      <top style="thin">
        <color indexed="64"/>
      </top>
      <bottom style="thin">
        <color indexed="47"/>
      </bottom>
      <diagonal/>
    </border>
    <border>
      <left/>
      <right style="thin">
        <color indexed="64"/>
      </right>
      <top style="thin">
        <color indexed="64"/>
      </top>
      <bottom style="thin">
        <color indexed="47"/>
      </bottom>
      <diagonal/>
    </border>
    <border>
      <left style="thin">
        <color rgb="FF0000FF"/>
      </left>
      <right style="thin">
        <color rgb="FF0000FF"/>
      </right>
      <top style="thin">
        <color rgb="FF0000FF"/>
      </top>
      <bottom style="thin">
        <color rgb="FF7171FF"/>
      </bottom>
      <diagonal/>
    </border>
    <border>
      <left style="thin">
        <color rgb="FF0000FF"/>
      </left>
      <right style="thin">
        <color rgb="FF0000FF"/>
      </right>
      <top style="thin">
        <color rgb="FF7171FF"/>
      </top>
      <bottom style="thin">
        <color rgb="FF7171FF"/>
      </bottom>
      <diagonal/>
    </border>
    <border>
      <left style="thin">
        <color rgb="FF0000FF"/>
      </left>
      <right style="thin">
        <color rgb="FF0000FF"/>
      </right>
      <top style="thin">
        <color rgb="FF7171FF"/>
      </top>
      <bottom style="thin">
        <color rgb="FF0000FF"/>
      </bottom>
      <diagonal/>
    </border>
    <border>
      <left style="medium">
        <color rgb="FF0000FF"/>
      </left>
      <right style="medium">
        <color rgb="FF0000FF"/>
      </right>
      <top style="medium">
        <color rgb="FF0000FF"/>
      </top>
      <bottom style="thin">
        <color rgb="FF7171FF"/>
      </bottom>
      <diagonal/>
    </border>
    <border>
      <left style="medium">
        <color rgb="FF0000FF"/>
      </left>
      <right style="medium">
        <color rgb="FF0000FF"/>
      </right>
      <top style="thin">
        <color rgb="FF7171FF"/>
      </top>
      <bottom style="thin">
        <color rgb="FF7171FF"/>
      </bottom>
      <diagonal/>
    </border>
    <border>
      <left style="medium">
        <color rgb="FF0000FF"/>
      </left>
      <right style="medium">
        <color rgb="FF0000FF"/>
      </right>
      <top style="thin">
        <color rgb="FF7171FF"/>
      </top>
      <bottom style="medium">
        <color rgb="FF0000FF"/>
      </bottom>
      <diagonal/>
    </border>
    <border>
      <left/>
      <right/>
      <top style="thin">
        <color indexed="64"/>
      </top>
      <bottom style="thin">
        <color theme="0"/>
      </bottom>
      <diagonal/>
    </border>
    <border>
      <left/>
      <right/>
      <top style="thin">
        <color theme="0"/>
      </top>
      <bottom style="thin">
        <color theme="0"/>
      </bottom>
      <diagonal/>
    </border>
    <border>
      <left/>
      <right/>
      <top style="thin">
        <color theme="0"/>
      </top>
      <bottom style="thin">
        <color theme="1" tint="0.499984740745262"/>
      </bottom>
      <diagonal/>
    </border>
    <border>
      <left/>
      <right/>
      <top style="thin">
        <color theme="0"/>
      </top>
      <bottom/>
      <diagonal/>
    </border>
    <border>
      <left style="thin">
        <color indexed="64"/>
      </left>
      <right style="thin">
        <color indexed="64"/>
      </right>
      <top style="thin">
        <color rgb="FFFFFFCC"/>
      </top>
      <bottom style="thin">
        <color rgb="FFFFFFCC"/>
      </bottom>
      <diagonal/>
    </border>
    <border>
      <left style="thin">
        <color indexed="64"/>
      </left>
      <right style="thin">
        <color indexed="64"/>
      </right>
      <top style="thin">
        <color rgb="FFCCFFFF"/>
      </top>
      <bottom style="thin">
        <color rgb="FFCCFFFF"/>
      </bottom>
      <diagonal/>
    </border>
    <border>
      <left style="thin">
        <color indexed="64"/>
      </left>
      <right style="thin">
        <color indexed="64"/>
      </right>
      <top/>
      <bottom style="thin">
        <color theme="1" tint="0.499984740745262"/>
      </bottom>
      <diagonal/>
    </border>
    <border>
      <left/>
      <right/>
      <top/>
      <bottom style="thin">
        <color theme="0"/>
      </bottom>
      <diagonal/>
    </border>
    <border>
      <left style="thin">
        <color indexed="64"/>
      </left>
      <right style="thin">
        <color indexed="64"/>
      </right>
      <top/>
      <bottom/>
      <diagonal/>
    </border>
    <border>
      <left/>
      <right style="thin">
        <color indexed="64"/>
      </right>
      <top style="thin">
        <color theme="0"/>
      </top>
      <bottom style="thin">
        <color theme="1" tint="0.499984740745262"/>
      </bottom>
      <diagonal/>
    </border>
    <border>
      <left style="thin">
        <color indexed="64"/>
      </left>
      <right/>
      <top/>
      <bottom style="thin">
        <color theme="0" tint="-0.24994659260841701"/>
      </bottom>
      <diagonal/>
    </border>
    <border>
      <left/>
      <right/>
      <top/>
      <bottom style="thin">
        <color theme="0" tint="-0.24994659260841701"/>
      </bottom>
      <diagonal/>
    </border>
    <border>
      <left style="thin">
        <color indexed="64"/>
      </left>
      <right style="thin">
        <color indexed="64"/>
      </right>
      <top style="thin">
        <color indexed="64"/>
      </top>
      <bottom style="thin">
        <color rgb="FFCCFFFF"/>
      </bottom>
      <diagonal/>
    </border>
    <border>
      <left/>
      <right style="thin">
        <color indexed="22"/>
      </right>
      <top/>
      <bottom style="thin">
        <color rgb="FFFFFFCC"/>
      </bottom>
      <diagonal/>
    </border>
    <border>
      <left/>
      <right style="thin">
        <color indexed="22"/>
      </right>
      <top style="thin">
        <color rgb="FFFFFFCC"/>
      </top>
      <bottom style="thin">
        <color rgb="FFFFFFCC"/>
      </bottom>
      <diagonal/>
    </border>
    <border>
      <left/>
      <right style="thin">
        <color indexed="22"/>
      </right>
      <top style="thin">
        <color rgb="FFFFFFCC"/>
      </top>
      <bottom/>
      <diagonal/>
    </border>
    <border>
      <left style="medium">
        <color rgb="FF0000FF"/>
      </left>
      <right style="medium">
        <color rgb="FF0000FF"/>
      </right>
      <top style="thin">
        <color rgb="FF0000FF"/>
      </top>
      <bottom style="medium">
        <color rgb="FF0000FF"/>
      </bottom>
      <diagonal/>
    </border>
    <border>
      <left style="medium">
        <color rgb="FF0000FF"/>
      </left>
      <right style="medium">
        <color rgb="FF0000FF"/>
      </right>
      <top style="thin">
        <color rgb="FF7171FF"/>
      </top>
      <bottom/>
      <diagonal/>
    </border>
    <border>
      <left style="medium">
        <color rgb="FF0000FF"/>
      </left>
      <right style="medium">
        <color rgb="FF0000FF"/>
      </right>
      <top style="thin">
        <color rgb="FF0000FF"/>
      </top>
      <bottom style="thin">
        <color rgb="FF0000FF"/>
      </bottom>
      <diagonal/>
    </border>
    <border>
      <left/>
      <right/>
      <top style="thin">
        <color indexed="64"/>
      </top>
      <bottom style="hair">
        <color indexed="64"/>
      </bottom>
      <diagonal/>
    </border>
    <border>
      <left/>
      <right/>
      <top/>
      <bottom style="hair">
        <color indexed="64"/>
      </bottom>
      <diagonal/>
    </border>
    <border>
      <left/>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right style="hair">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right style="hair">
        <color indexed="64"/>
      </right>
      <top/>
      <bottom style="hair">
        <color indexed="64"/>
      </bottom>
      <diagonal/>
    </border>
    <border>
      <left/>
      <right style="hair">
        <color indexed="64"/>
      </right>
      <top/>
      <bottom/>
      <diagonal/>
    </border>
    <border>
      <left style="hair">
        <color indexed="64"/>
      </left>
      <right/>
      <top style="hair">
        <color indexed="64"/>
      </top>
      <bottom/>
      <diagonal/>
    </border>
    <border>
      <left style="hair">
        <color indexed="64"/>
      </left>
      <right style="thin">
        <color indexed="64"/>
      </right>
      <top style="hair">
        <color indexed="64"/>
      </top>
      <bottom style="hair">
        <color indexed="64"/>
      </bottom>
      <diagonal/>
    </border>
    <border>
      <left style="double">
        <color indexed="64"/>
      </left>
      <right style="hair">
        <color indexed="64"/>
      </right>
      <top style="double">
        <color indexed="64"/>
      </top>
      <bottom/>
      <diagonal/>
    </border>
    <border>
      <left style="hair">
        <color indexed="64"/>
      </left>
      <right style="hair">
        <color indexed="64"/>
      </right>
      <top style="double">
        <color indexed="64"/>
      </top>
      <bottom/>
      <diagonal/>
    </border>
    <border>
      <left style="hair">
        <color indexed="64"/>
      </left>
      <right style="double">
        <color indexed="64"/>
      </right>
      <top style="double">
        <color indexed="64"/>
      </top>
      <bottom/>
      <diagonal/>
    </border>
    <border>
      <left style="hair">
        <color indexed="64"/>
      </left>
      <right style="hair">
        <color indexed="64"/>
      </right>
      <top/>
      <bottom style="hair">
        <color indexed="64"/>
      </bottom>
      <diagonal/>
    </border>
    <border>
      <left style="double">
        <color indexed="64"/>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double">
        <color indexed="64"/>
      </right>
      <top style="hair">
        <color indexed="64"/>
      </top>
      <bottom/>
      <diagonal/>
    </border>
    <border>
      <left style="double">
        <color indexed="64"/>
      </left>
      <right style="hair">
        <color indexed="64"/>
      </right>
      <top style="hair">
        <color indexed="64"/>
      </top>
      <bottom style="double">
        <color indexed="64"/>
      </bottom>
      <diagonal/>
    </border>
    <border>
      <left style="hair">
        <color indexed="64"/>
      </left>
      <right/>
      <top style="hair">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hair">
        <color indexed="64"/>
      </top>
      <bottom style="hair">
        <color indexed="64"/>
      </bottom>
      <diagonal/>
    </border>
    <border>
      <left style="double">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style="thin">
        <color indexed="64"/>
      </left>
      <right style="thin">
        <color indexed="64"/>
      </right>
      <top style="hair">
        <color indexed="64"/>
      </top>
      <bottom style="thin">
        <color indexed="64"/>
      </bottom>
      <diagonal/>
    </border>
    <border>
      <left style="thin">
        <color indexed="64"/>
      </left>
      <right style="double">
        <color indexed="64"/>
      </right>
      <top style="hair">
        <color indexed="64"/>
      </top>
      <bottom style="thin">
        <color indexed="64"/>
      </bottom>
      <diagonal/>
    </border>
    <border>
      <left style="hair">
        <color indexed="64"/>
      </left>
      <right/>
      <top style="double">
        <color indexed="64"/>
      </top>
      <bottom style="double">
        <color indexed="64"/>
      </bottom>
      <diagonal/>
    </border>
    <border>
      <left style="hair">
        <color indexed="64"/>
      </left>
      <right/>
      <top style="double">
        <color indexed="64"/>
      </top>
      <bottom/>
      <diagonal/>
    </border>
    <border>
      <left style="thin">
        <color indexed="64"/>
      </left>
      <right/>
      <top style="hair">
        <color indexed="64"/>
      </top>
      <bottom style="thin">
        <color indexed="64"/>
      </bottom>
      <diagonal/>
    </border>
    <border>
      <left style="thin">
        <color indexed="64"/>
      </left>
      <right/>
      <top style="thin">
        <color indexed="64"/>
      </top>
      <bottom style="double">
        <color indexed="64"/>
      </bottom>
      <diagonal/>
    </border>
    <border>
      <left style="hair">
        <color indexed="64"/>
      </left>
      <right/>
      <top style="double">
        <color indexed="64"/>
      </top>
      <bottom style="hair">
        <color indexed="64"/>
      </bottom>
      <diagonal/>
    </border>
    <border>
      <left style="thin">
        <color indexed="22"/>
      </left>
      <right/>
      <top/>
      <bottom/>
      <diagonal/>
    </border>
    <border>
      <left/>
      <right/>
      <top/>
      <bottom style="medium">
        <color indexed="64"/>
      </bottom>
      <diagonal/>
    </border>
    <border>
      <left/>
      <right style="thin">
        <color indexed="64"/>
      </right>
      <top/>
      <bottom style="hair">
        <color indexed="64"/>
      </bottom>
      <diagonal/>
    </border>
    <border>
      <left style="hair">
        <color indexed="64"/>
      </left>
      <right style="thin">
        <color indexed="64"/>
      </right>
      <top style="hair">
        <color indexed="64"/>
      </top>
      <bottom/>
      <diagonal/>
    </border>
    <border>
      <left/>
      <right style="thin">
        <color indexed="64"/>
      </right>
      <top style="thin">
        <color indexed="64"/>
      </top>
      <bottom style="hair">
        <color indexed="64"/>
      </bottom>
      <diagonal/>
    </border>
    <border>
      <left style="hair">
        <color indexed="64"/>
      </left>
      <right/>
      <top style="hair">
        <color indexed="64"/>
      </top>
      <bottom style="thin">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47"/>
      </bottom>
      <diagonal/>
    </border>
    <border>
      <left/>
      <right style="thin">
        <color indexed="64"/>
      </right>
      <top style="medium">
        <color indexed="64"/>
      </top>
      <bottom/>
      <diagonal/>
    </border>
    <border>
      <left style="thin">
        <color indexed="63"/>
      </left>
      <right/>
      <top/>
      <bottom/>
      <diagonal/>
    </border>
  </borders>
  <cellStyleXfs count="6">
    <xf numFmtId="0" fontId="0" fillId="0" borderId="0"/>
    <xf numFmtId="0" fontId="9" fillId="0" borderId="0"/>
    <xf numFmtId="0" fontId="48" fillId="0" borderId="0"/>
    <xf numFmtId="0" fontId="60" fillId="13" borderId="0" applyNumberFormat="0" applyBorder="0" applyAlignment="0" applyProtection="0"/>
    <xf numFmtId="9" fontId="9" fillId="0" borderId="0" applyFont="0" applyFill="0" applyBorder="0" applyAlignment="0" applyProtection="0"/>
    <xf numFmtId="0" fontId="86" fillId="0" borderId="0"/>
  </cellStyleXfs>
  <cellXfs count="874">
    <xf numFmtId="0" fontId="0" fillId="0" borderId="0" xfId="0"/>
    <xf numFmtId="0" fontId="6" fillId="0" borderId="0" xfId="0" applyFont="1" applyBorder="1" applyAlignment="1" applyProtection="1">
      <alignment vertical="center"/>
    </xf>
    <xf numFmtId="0" fontId="0" fillId="0" borderId="2" xfId="0" applyBorder="1" applyProtection="1"/>
    <xf numFmtId="0" fontId="0" fillId="0" borderId="3" xfId="0" applyBorder="1" applyProtection="1"/>
    <xf numFmtId="0" fontId="0" fillId="0" borderId="4" xfId="0" applyBorder="1" applyProtection="1"/>
    <xf numFmtId="0" fontId="0" fillId="0" borderId="0" xfId="0" applyBorder="1" applyProtection="1"/>
    <xf numFmtId="0" fontId="0" fillId="0" borderId="5" xfId="0" applyBorder="1" applyProtection="1"/>
    <xf numFmtId="0" fontId="0" fillId="2" borderId="6" xfId="0" applyFill="1" applyBorder="1" applyProtection="1"/>
    <xf numFmtId="0" fontId="0" fillId="0" borderId="7" xfId="0" applyBorder="1" applyProtection="1"/>
    <xf numFmtId="0" fontId="1" fillId="0" borderId="4" xfId="0" applyFont="1" applyBorder="1" applyAlignment="1" applyProtection="1">
      <alignment horizontal="left"/>
    </xf>
    <xf numFmtId="4" fontId="0" fillId="2" borderId="6" xfId="0" applyNumberFormat="1" applyFill="1" applyBorder="1" applyProtection="1">
      <protection locked="0"/>
    </xf>
    <xf numFmtId="0" fontId="4" fillId="0" borderId="0" xfId="0" applyFont="1" applyBorder="1" applyProtection="1"/>
    <xf numFmtId="0" fontId="4" fillId="0" borderId="0" xfId="0" applyFont="1" applyFill="1" applyBorder="1" applyAlignment="1" applyProtection="1">
      <alignment horizontal="left"/>
    </xf>
    <xf numFmtId="0" fontId="0" fillId="0" borderId="8" xfId="0" applyBorder="1" applyProtection="1"/>
    <xf numFmtId="0" fontId="0" fillId="0" borderId="0" xfId="0" applyBorder="1" applyAlignment="1" applyProtection="1">
      <alignment horizontal="left"/>
    </xf>
    <xf numFmtId="0" fontId="0" fillId="0" borderId="0" xfId="0" applyFill="1" applyBorder="1" applyProtection="1"/>
    <xf numFmtId="0" fontId="2" fillId="0" borderId="0" xfId="0" applyFont="1" applyBorder="1" applyAlignment="1" applyProtection="1">
      <alignment horizontal="left"/>
    </xf>
    <xf numFmtId="0" fontId="0" fillId="0" borderId="0" xfId="0" applyBorder="1" applyAlignment="1" applyProtection="1">
      <alignment horizontal="center"/>
    </xf>
    <xf numFmtId="0" fontId="2" fillId="0" borderId="4" xfId="0" applyFont="1" applyBorder="1" applyAlignment="1" applyProtection="1"/>
    <xf numFmtId="0" fontId="0" fillId="0" borderId="6" xfId="0" applyBorder="1" applyProtection="1"/>
    <xf numFmtId="0" fontId="0" fillId="0" borderId="0" xfId="0" quotePrefix="1"/>
    <xf numFmtId="0" fontId="0" fillId="0" borderId="0" xfId="0" applyProtection="1"/>
    <xf numFmtId="0" fontId="0" fillId="0" borderId="4" xfId="0" applyBorder="1" applyAlignment="1" applyProtection="1"/>
    <xf numFmtId="0" fontId="0" fillId="0" borderId="0" xfId="0" applyBorder="1" applyAlignment="1" applyProtection="1"/>
    <xf numFmtId="0" fontId="7" fillId="0" borderId="0" xfId="0" applyFont="1" applyBorder="1" applyAlignment="1" applyProtection="1">
      <alignment vertical="center"/>
    </xf>
    <xf numFmtId="0" fontId="11" fillId="0" borderId="0" xfId="0" applyFont="1" applyBorder="1" applyProtection="1"/>
    <xf numFmtId="164" fontId="0" fillId="0" borderId="0" xfId="0" applyNumberFormat="1" applyFill="1" applyBorder="1" applyProtection="1"/>
    <xf numFmtId="0" fontId="0" fillId="0" borderId="8" xfId="0" applyBorder="1" applyAlignment="1" applyProtection="1"/>
    <xf numFmtId="0" fontId="3" fillId="0" borderId="0" xfId="0" applyFont="1" applyProtection="1"/>
    <xf numFmtId="0" fontId="0" fillId="0" borderId="0" xfId="0" applyAlignment="1" applyProtection="1">
      <alignment horizontal="center"/>
    </xf>
    <xf numFmtId="0" fontId="3" fillId="0" borderId="0" xfId="0" applyNumberFormat="1" applyFont="1" applyAlignment="1" applyProtection="1">
      <alignment horizontal="center"/>
    </xf>
    <xf numFmtId="0" fontId="3" fillId="0" borderId="0" xfId="0" applyNumberFormat="1" applyFont="1" applyProtection="1"/>
    <xf numFmtId="1" fontId="0" fillId="0" borderId="0" xfId="0" applyNumberFormat="1" applyBorder="1" applyProtection="1"/>
    <xf numFmtId="0" fontId="0" fillId="0" borderId="0" xfId="0" applyNumberFormat="1" applyProtection="1"/>
    <xf numFmtId="0" fontId="1" fillId="0" borderId="0" xfId="0" applyFont="1" applyAlignment="1" applyProtection="1">
      <alignment horizontal="right"/>
    </xf>
    <xf numFmtId="0" fontId="3" fillId="0" borderId="0" xfId="0" applyFont="1" applyBorder="1" applyProtection="1"/>
    <xf numFmtId="0" fontId="10" fillId="0" borderId="0" xfId="0" applyFont="1" applyProtection="1"/>
    <xf numFmtId="0" fontId="0" fillId="0" borderId="9" xfId="0" applyBorder="1" applyProtection="1"/>
    <xf numFmtId="0" fontId="0" fillId="0" borderId="10" xfId="0" applyBorder="1" applyProtection="1"/>
    <xf numFmtId="0" fontId="0" fillId="0" borderId="11" xfId="0" applyBorder="1" applyProtection="1"/>
    <xf numFmtId="0" fontId="0" fillId="0" borderId="12" xfId="0" applyBorder="1" applyProtection="1"/>
    <xf numFmtId="0" fontId="0" fillId="0" borderId="13" xfId="0" applyBorder="1" applyProtection="1"/>
    <xf numFmtId="0" fontId="2" fillId="0" borderId="12" xfId="0" applyFont="1" applyBorder="1" applyAlignment="1" applyProtection="1">
      <alignment horizontal="center"/>
    </xf>
    <xf numFmtId="0" fontId="2" fillId="0" borderId="14" xfId="0" applyFont="1" applyBorder="1" applyAlignment="1" applyProtection="1">
      <alignment horizontal="center"/>
    </xf>
    <xf numFmtId="0" fontId="2" fillId="0" borderId="15" xfId="0" applyFont="1" applyBorder="1" applyAlignment="1" applyProtection="1">
      <alignment horizontal="center"/>
    </xf>
    <xf numFmtId="0" fontId="0" fillId="0" borderId="16" xfId="0" applyBorder="1" applyProtection="1"/>
    <xf numFmtId="0" fontId="2" fillId="0" borderId="0" xfId="0" applyFont="1" applyAlignment="1" applyProtection="1"/>
    <xf numFmtId="2" fontId="0" fillId="0" borderId="0" xfId="0" applyNumberFormat="1"/>
    <xf numFmtId="0" fontId="2" fillId="0" borderId="0" xfId="0" applyFont="1"/>
    <xf numFmtId="0" fontId="9" fillId="0" borderId="0" xfId="0" applyFont="1"/>
    <xf numFmtId="0" fontId="2" fillId="0" borderId="4" xfId="0" applyFont="1" applyFill="1" applyBorder="1" applyAlignment="1" applyProtection="1"/>
    <xf numFmtId="0" fontId="2" fillId="0" borderId="0" xfId="0" applyFont="1" applyBorder="1" applyAlignment="1" applyProtection="1"/>
    <xf numFmtId="0" fontId="2" fillId="0" borderId="17" xfId="0" applyFont="1" applyBorder="1" applyAlignment="1" applyProtection="1"/>
    <xf numFmtId="0" fontId="0" fillId="3" borderId="6" xfId="0" applyFill="1" applyBorder="1" applyProtection="1"/>
    <xf numFmtId="0" fontId="2" fillId="0" borderId="4" xfId="0" applyFont="1" applyBorder="1" applyAlignment="1" applyProtection="1">
      <alignment wrapText="1"/>
    </xf>
    <xf numFmtId="0" fontId="0" fillId="0" borderId="18" xfId="0" applyBorder="1" applyProtection="1"/>
    <xf numFmtId="0" fontId="0" fillId="4" borderId="6" xfId="0" applyFill="1" applyBorder="1" applyProtection="1"/>
    <xf numFmtId="0" fontId="0" fillId="5" borderId="6" xfId="0" applyFill="1" applyBorder="1" applyProtection="1"/>
    <xf numFmtId="0" fontId="16" fillId="2" borderId="6" xfId="0" applyFont="1" applyFill="1" applyBorder="1" applyAlignment="1" applyProtection="1">
      <alignment horizontal="right"/>
    </xf>
    <xf numFmtId="0" fontId="8" fillId="0" borderId="0" xfId="0" applyFont="1" applyProtection="1"/>
    <xf numFmtId="0" fontId="12" fillId="0" borderId="0" xfId="0" applyFont="1" applyFill="1" applyBorder="1" applyAlignment="1" applyProtection="1">
      <alignment horizontal="right"/>
    </xf>
    <xf numFmtId="164" fontId="4" fillId="0" borderId="0" xfId="0" applyNumberFormat="1" applyFont="1" applyFill="1" applyBorder="1" applyProtection="1"/>
    <xf numFmtId="0" fontId="4" fillId="0" borderId="0" xfId="0" applyFont="1" applyBorder="1" applyAlignment="1" applyProtection="1">
      <alignment horizontal="left"/>
    </xf>
    <xf numFmtId="0" fontId="4" fillId="0" borderId="0" xfId="0" applyFont="1" applyFill="1" applyBorder="1" applyAlignment="1" applyProtection="1">
      <alignment horizontal="center"/>
    </xf>
    <xf numFmtId="0" fontId="4" fillId="0" borderId="0" xfId="0" applyFont="1" applyBorder="1" applyAlignment="1" applyProtection="1">
      <alignment horizontal="center"/>
    </xf>
    <xf numFmtId="0" fontId="4" fillId="0" borderId="0" xfId="0" applyFont="1" applyFill="1" applyBorder="1" applyProtection="1"/>
    <xf numFmtId="0" fontId="2" fillId="0" borderId="0" xfId="0" applyFont="1" applyBorder="1" applyProtection="1"/>
    <xf numFmtId="0" fontId="4" fillId="0" borderId="0" xfId="0" applyFont="1" applyBorder="1" applyAlignment="1" applyProtection="1"/>
    <xf numFmtId="164" fontId="0" fillId="0" borderId="0" xfId="0" applyNumberFormat="1" applyBorder="1" applyProtection="1"/>
    <xf numFmtId="0" fontId="4" fillId="0" borderId="0" xfId="0" applyFont="1" applyProtection="1"/>
    <xf numFmtId="0" fontId="0" fillId="6" borderId="0" xfId="0" applyFill="1"/>
    <xf numFmtId="49" fontId="0" fillId="0" borderId="0" xfId="0" applyNumberFormat="1"/>
    <xf numFmtId="4" fontId="0" fillId="0" borderId="0" xfId="0" applyNumberFormat="1" applyFill="1" applyBorder="1" applyProtection="1"/>
    <xf numFmtId="0" fontId="0" fillId="0" borderId="0" xfId="0" applyBorder="1" applyProtection="1">
      <protection locked="0"/>
    </xf>
    <xf numFmtId="0" fontId="0" fillId="0" borderId="0" xfId="0" applyBorder="1" applyAlignment="1" applyProtection="1">
      <protection locked="0"/>
    </xf>
    <xf numFmtId="0" fontId="0" fillId="2" borderId="0" xfId="0" applyFill="1" applyBorder="1" applyAlignment="1" applyProtection="1">
      <protection locked="0"/>
    </xf>
    <xf numFmtId="0" fontId="9" fillId="0" borderId="2" xfId="0" applyNumberFormat="1" applyFont="1" applyFill="1" applyBorder="1" applyAlignment="1" applyProtection="1">
      <alignment vertical="center"/>
    </xf>
    <xf numFmtId="0" fontId="9" fillId="0" borderId="8" xfId="0" applyNumberFormat="1" applyFont="1" applyFill="1" applyBorder="1" applyAlignment="1" applyProtection="1">
      <alignment vertical="center"/>
    </xf>
    <xf numFmtId="0" fontId="0" fillId="0" borderId="5" xfId="0" applyBorder="1" applyAlignment="1" applyProtection="1">
      <alignment wrapText="1"/>
    </xf>
    <xf numFmtId="0" fontId="0" fillId="0" borderId="0" xfId="0" applyAlignment="1" applyProtection="1">
      <alignment wrapText="1"/>
    </xf>
    <xf numFmtId="0" fontId="9" fillId="0" borderId="8" xfId="0" applyFont="1" applyBorder="1" applyAlignment="1" applyProtection="1">
      <alignment vertical="center"/>
    </xf>
    <xf numFmtId="0" fontId="0" fillId="0" borderId="20" xfId="0" applyBorder="1" applyProtection="1"/>
    <xf numFmtId="0" fontId="2" fillId="0" borderId="0" xfId="0" applyFont="1" applyFill="1" applyBorder="1" applyProtection="1"/>
    <xf numFmtId="165" fontId="13" fillId="0" borderId="0" xfId="0" applyNumberFormat="1" applyFont="1" applyProtection="1"/>
    <xf numFmtId="0" fontId="9" fillId="0" borderId="0" xfId="0" applyNumberFormat="1" applyFont="1" applyFill="1" applyBorder="1" applyAlignment="1" applyProtection="1">
      <alignment vertical="center"/>
    </xf>
    <xf numFmtId="0" fontId="9" fillId="0" borderId="0" xfId="0" applyFont="1" applyBorder="1" applyAlignment="1" applyProtection="1">
      <alignment vertical="center"/>
    </xf>
    <xf numFmtId="49" fontId="22" fillId="7" borderId="0" xfId="0" applyNumberFormat="1" applyFont="1" applyFill="1"/>
    <xf numFmtId="49" fontId="23" fillId="0" borderId="0" xfId="0" applyNumberFormat="1" applyFont="1" applyAlignment="1">
      <alignment vertical="top" wrapText="1"/>
    </xf>
    <xf numFmtId="0" fontId="0" fillId="0" borderId="0" xfId="0" applyNumberFormat="1" applyFill="1" applyBorder="1" applyAlignment="1" applyProtection="1"/>
    <xf numFmtId="0" fontId="0" fillId="0" borderId="0" xfId="0" applyBorder="1" applyAlignment="1" applyProtection="1">
      <alignment wrapText="1"/>
    </xf>
    <xf numFmtId="164" fontId="0" fillId="0" borderId="0" xfId="0" applyNumberFormat="1" applyBorder="1" applyAlignment="1" applyProtection="1">
      <alignment wrapText="1"/>
    </xf>
    <xf numFmtId="0" fontId="9" fillId="0" borderId="0" xfId="0" applyFont="1" applyBorder="1" applyAlignment="1" applyProtection="1"/>
    <xf numFmtId="0" fontId="25" fillId="0" borderId="0" xfId="0" applyFont="1"/>
    <xf numFmtId="0" fontId="26" fillId="0" borderId="0" xfId="0" applyFont="1"/>
    <xf numFmtId="0" fontId="27" fillId="0" borderId="0" xfId="0" applyFont="1"/>
    <xf numFmtId="0" fontId="27" fillId="0" borderId="0" xfId="0" applyFont="1" applyAlignment="1">
      <alignment horizontal="right"/>
    </xf>
    <xf numFmtId="0" fontId="27" fillId="6" borderId="0" xfId="0" applyFont="1" applyFill="1"/>
    <xf numFmtId="0" fontId="0" fillId="0" borderId="18" xfId="0" applyBorder="1" applyAlignment="1" applyProtection="1"/>
    <xf numFmtId="0" fontId="2" fillId="0" borderId="20" xfId="0" applyFont="1" applyBorder="1" applyAlignment="1" applyProtection="1">
      <alignment wrapText="1"/>
    </xf>
    <xf numFmtId="0" fontId="0" fillId="0" borderId="18" xfId="0" applyFill="1" applyBorder="1" applyAlignment="1" applyProtection="1"/>
    <xf numFmtId="0" fontId="2" fillId="0" borderId="20" xfId="0" applyFont="1" applyBorder="1" applyAlignment="1" applyProtection="1">
      <alignment horizontal="left"/>
    </xf>
    <xf numFmtId="0" fontId="2" fillId="0" borderId="20" xfId="0" applyFont="1" applyBorder="1" applyAlignment="1" applyProtection="1"/>
    <xf numFmtId="0" fontId="2" fillId="0" borderId="18" xfId="0" applyFont="1" applyBorder="1" applyAlignment="1" applyProtection="1">
      <alignment horizontal="left"/>
    </xf>
    <xf numFmtId="49" fontId="29" fillId="0" borderId="23" xfId="0" applyNumberFormat="1" applyFont="1" applyBorder="1" applyAlignment="1" applyProtection="1">
      <alignment horizontal="center"/>
    </xf>
    <xf numFmtId="0" fontId="2" fillId="0" borderId="19" xfId="0" applyFont="1" applyBorder="1" applyAlignment="1" applyProtection="1"/>
    <xf numFmtId="0" fontId="0" fillId="0" borderId="18" xfId="0" applyBorder="1" applyAlignment="1" applyProtection="1">
      <alignment horizontal="right"/>
    </xf>
    <xf numFmtId="0" fontId="0" fillId="0" borderId="18" xfId="0" applyFill="1" applyBorder="1" applyAlignment="1" applyProtection="1">
      <alignment horizontal="right"/>
    </xf>
    <xf numFmtId="0" fontId="0" fillId="0" borderId="18" xfId="0" applyBorder="1" applyAlignment="1" applyProtection="1">
      <alignment horizontal="right" vertical="top"/>
    </xf>
    <xf numFmtId="0" fontId="0" fillId="0" borderId="18" xfId="0" applyFill="1" applyBorder="1" applyAlignment="1" applyProtection="1">
      <alignment horizontal="right" vertical="top"/>
    </xf>
    <xf numFmtId="0" fontId="0" fillId="0" borderId="7" xfId="0" applyFill="1" applyBorder="1" applyAlignment="1" applyProtection="1">
      <alignment horizontal="right"/>
    </xf>
    <xf numFmtId="0" fontId="0" fillId="0" borderId="24" xfId="0" applyBorder="1" applyAlignment="1" applyProtection="1">
      <alignment horizontal="right"/>
    </xf>
    <xf numFmtId="0" fontId="2" fillId="0" borderId="8" xfId="0" applyFont="1" applyBorder="1" applyProtection="1"/>
    <xf numFmtId="1" fontId="9" fillId="5" borderId="26" xfId="0" applyNumberFormat="1" applyFont="1" applyFill="1" applyBorder="1" applyAlignment="1" applyProtection="1">
      <alignment horizontal="center"/>
      <protection locked="0"/>
    </xf>
    <xf numFmtId="169" fontId="9" fillId="5" borderId="26" xfId="0" applyNumberFormat="1" applyFont="1" applyFill="1" applyBorder="1" applyProtection="1">
      <protection locked="0"/>
    </xf>
    <xf numFmtId="168" fontId="9" fillId="2" borderId="6" xfId="0" applyNumberFormat="1" applyFont="1" applyFill="1" applyBorder="1" applyAlignment="1" applyProtection="1"/>
    <xf numFmtId="167" fontId="9" fillId="2" borderId="6" xfId="0" applyNumberFormat="1" applyFont="1" applyFill="1" applyBorder="1" applyAlignment="1" applyProtection="1"/>
    <xf numFmtId="167" fontId="8" fillId="2" borderId="27" xfId="0" applyNumberFormat="1" applyFont="1" applyFill="1" applyBorder="1" applyProtection="1"/>
    <xf numFmtId="167" fontId="8" fillId="2" borderId="26" xfId="0" applyNumberFormat="1" applyFont="1" applyFill="1" applyBorder="1" applyProtection="1"/>
    <xf numFmtId="0" fontId="16" fillId="2" borderId="6" xfId="0" applyFont="1" applyFill="1" applyBorder="1" applyAlignment="1" applyProtection="1"/>
    <xf numFmtId="168" fontId="9" fillId="2" borderId="26" xfId="0" applyNumberFormat="1" applyFont="1" applyFill="1" applyBorder="1" applyAlignment="1" applyProtection="1"/>
    <xf numFmtId="172" fontId="9" fillId="2" borderId="6" xfId="0" applyNumberFormat="1" applyFont="1" applyFill="1" applyBorder="1" applyAlignment="1" applyProtection="1">
      <alignment vertical="top"/>
    </xf>
    <xf numFmtId="1" fontId="9" fillId="2" borderId="6" xfId="0" applyNumberFormat="1" applyFont="1" applyFill="1" applyBorder="1" applyAlignment="1" applyProtection="1"/>
    <xf numFmtId="1" fontId="9" fillId="2" borderId="6" xfId="0" applyNumberFormat="1" applyFont="1" applyFill="1" applyBorder="1" applyAlignment="1" applyProtection="1">
      <alignment vertical="top"/>
    </xf>
    <xf numFmtId="1" fontId="9" fillId="2" borderId="27" xfId="0" applyNumberFormat="1" applyFont="1" applyFill="1" applyBorder="1" applyAlignment="1" applyProtection="1">
      <alignment vertical="top"/>
    </xf>
    <xf numFmtId="1" fontId="9" fillId="2" borderId="26" xfId="0" applyNumberFormat="1" applyFont="1" applyFill="1" applyBorder="1" applyAlignment="1" applyProtection="1">
      <alignment vertical="top"/>
    </xf>
    <xf numFmtId="0" fontId="4" fillId="0" borderId="30" xfId="0" applyFont="1" applyBorder="1" applyProtection="1"/>
    <xf numFmtId="0" fontId="0" fillId="0" borderId="7" xfId="0" applyBorder="1" applyAlignment="1" applyProtection="1"/>
    <xf numFmtId="0" fontId="16" fillId="2" borderId="26" xfId="0" applyFont="1" applyFill="1" applyBorder="1" applyAlignment="1" applyProtection="1"/>
    <xf numFmtId="49" fontId="29" fillId="0" borderId="18" xfId="0" applyNumberFormat="1" applyFont="1" applyBorder="1" applyAlignment="1" applyProtection="1">
      <alignment horizontal="center"/>
    </xf>
    <xf numFmtId="0" fontId="0" fillId="0" borderId="7" xfId="0" applyBorder="1" applyAlignment="1" applyProtection="1">
      <alignment horizontal="right"/>
    </xf>
    <xf numFmtId="170" fontId="9" fillId="3" borderId="34" xfId="0" applyNumberFormat="1" applyFont="1" applyFill="1" applyBorder="1" applyProtection="1"/>
    <xf numFmtId="170" fontId="2" fillId="3" borderId="34" xfId="0" applyNumberFormat="1" applyFont="1" applyFill="1" applyBorder="1" applyProtection="1"/>
    <xf numFmtId="0" fontId="28" fillId="0" borderId="1" xfId="0" applyFont="1" applyBorder="1" applyAlignment="1" applyProtection="1"/>
    <xf numFmtId="0" fontId="28" fillId="0" borderId="1" xfId="0" applyFont="1" applyBorder="1" applyProtection="1"/>
    <xf numFmtId="0" fontId="9" fillId="5" borderId="1" xfId="0" applyFont="1" applyFill="1" applyBorder="1" applyProtection="1">
      <protection locked="0"/>
    </xf>
    <xf numFmtId="0" fontId="2" fillId="0" borderId="30" xfId="0" applyFont="1" applyBorder="1" applyAlignment="1" applyProtection="1"/>
    <xf numFmtId="0" fontId="0" fillId="0" borderId="31" xfId="0" applyBorder="1" applyProtection="1"/>
    <xf numFmtId="0" fontId="2" fillId="0" borderId="30" xfId="0" applyFont="1" applyBorder="1" applyAlignment="1" applyProtection="1">
      <alignment horizontal="right"/>
    </xf>
    <xf numFmtId="0" fontId="0" fillId="0" borderId="32" xfId="0" applyBorder="1" applyAlignment="1" applyProtection="1"/>
    <xf numFmtId="0" fontId="0" fillId="0" borderId="22" xfId="0" applyBorder="1" applyAlignment="1" applyProtection="1"/>
    <xf numFmtId="0" fontId="0" fillId="0" borderId="22" xfId="0" applyBorder="1" applyProtection="1"/>
    <xf numFmtId="0" fontId="4" fillId="0" borderId="22" xfId="0" applyFont="1" applyFill="1" applyBorder="1" applyProtection="1"/>
    <xf numFmtId="0" fontId="0" fillId="0" borderId="22" xfId="0" applyFill="1" applyBorder="1" applyProtection="1"/>
    <xf numFmtId="0" fontId="0" fillId="0" borderId="33" xfId="0" applyBorder="1" applyProtection="1"/>
    <xf numFmtId="0" fontId="0" fillId="0" borderId="35" xfId="0" applyBorder="1" applyAlignment="1" applyProtection="1">
      <alignment horizontal="right"/>
    </xf>
    <xf numFmtId="0" fontId="0" fillId="0" borderId="36" xfId="0" applyNumberFormat="1" applyBorder="1" applyProtection="1"/>
    <xf numFmtId="0" fontId="0" fillId="0" borderId="36" xfId="0" applyBorder="1" applyProtection="1"/>
    <xf numFmtId="0" fontId="0" fillId="0" borderId="7" xfId="0" applyBorder="1" applyAlignment="1" applyProtection="1"/>
    <xf numFmtId="0" fontId="5" fillId="0" borderId="17" xfId="0" applyFont="1" applyBorder="1" applyAlignment="1" applyProtection="1">
      <alignment vertical="center"/>
    </xf>
    <xf numFmtId="0" fontId="0" fillId="0" borderId="7" xfId="0" applyBorder="1" applyAlignment="1" applyProtection="1"/>
    <xf numFmtId="0" fontId="19" fillId="0" borderId="19" xfId="0" applyFont="1" applyBorder="1" applyAlignment="1" applyProtection="1">
      <alignment horizontal="center"/>
    </xf>
    <xf numFmtId="22" fontId="35" fillId="0" borderId="5" xfId="0" applyNumberFormat="1" applyFont="1" applyBorder="1" applyAlignment="1" applyProtection="1">
      <alignment horizontal="center" vertical="center"/>
    </xf>
    <xf numFmtId="0" fontId="1" fillId="0" borderId="20" xfId="0" applyFont="1" applyBorder="1" applyAlignment="1" applyProtection="1">
      <alignment horizontal="left" wrapText="1"/>
    </xf>
    <xf numFmtId="0" fontId="1" fillId="0" borderId="20" xfId="0" applyFont="1" applyBorder="1" applyAlignment="1" applyProtection="1">
      <alignment wrapText="1"/>
    </xf>
    <xf numFmtId="0" fontId="1" fillId="0" borderId="20" xfId="0" applyNumberFormat="1" applyFont="1" applyBorder="1" applyAlignment="1" applyProtection="1"/>
    <xf numFmtId="0" fontId="1" fillId="0" borderId="20" xfId="0" applyFont="1" applyBorder="1" applyAlignment="1" applyProtection="1"/>
    <xf numFmtId="0" fontId="0" fillId="0" borderId="63" xfId="0" applyBorder="1"/>
    <xf numFmtId="0" fontId="0" fillId="0" borderId="64" xfId="0" applyBorder="1"/>
    <xf numFmtId="0" fontId="0" fillId="0" borderId="65" xfId="0" applyBorder="1"/>
    <xf numFmtId="0" fontId="0" fillId="0" borderId="66" xfId="0" applyBorder="1"/>
    <xf numFmtId="0" fontId="0" fillId="0" borderId="67" xfId="0" applyBorder="1"/>
    <xf numFmtId="0" fontId="0" fillId="0" borderId="68" xfId="0" applyBorder="1"/>
    <xf numFmtId="14" fontId="16" fillId="2" borderId="6" xfId="0" applyNumberFormat="1" applyFont="1" applyFill="1" applyBorder="1" applyAlignment="1" applyProtection="1">
      <alignment horizontal="right"/>
    </xf>
    <xf numFmtId="49" fontId="9" fillId="0" borderId="0" xfId="0" applyNumberFormat="1" applyFont="1"/>
    <xf numFmtId="0" fontId="0" fillId="0" borderId="8" xfId="0" applyBorder="1" applyAlignment="1" applyProtection="1"/>
    <xf numFmtId="0" fontId="0" fillId="0" borderId="7" xfId="0" applyBorder="1" applyAlignment="1" applyProtection="1"/>
    <xf numFmtId="0" fontId="0" fillId="0" borderId="0" xfId="0" applyBorder="1" applyAlignment="1" applyProtection="1"/>
    <xf numFmtId="169" fontId="9" fillId="2" borderId="6" xfId="0" applyNumberFormat="1" applyFont="1" applyFill="1" applyBorder="1" applyAlignment="1" applyProtection="1"/>
    <xf numFmtId="169" fontId="2" fillId="0" borderId="20" xfId="0" applyNumberFormat="1" applyFont="1" applyBorder="1" applyAlignment="1" applyProtection="1">
      <alignment wrapText="1"/>
    </xf>
    <xf numFmtId="169" fontId="0" fillId="0" borderId="18" xfId="0" applyNumberFormat="1" applyBorder="1" applyAlignment="1" applyProtection="1"/>
    <xf numFmtId="169" fontId="1" fillId="0" borderId="20" xfId="0" applyNumberFormat="1" applyFont="1" applyBorder="1" applyAlignment="1" applyProtection="1"/>
    <xf numFmtId="169" fontId="0" fillId="0" borderId="18" xfId="0" applyNumberFormat="1" applyBorder="1" applyAlignment="1" applyProtection="1">
      <alignment horizontal="right"/>
    </xf>
    <xf numFmtId="169" fontId="0" fillId="0" borderId="18" xfId="0" applyNumberFormat="1" applyFill="1" applyBorder="1" applyAlignment="1" applyProtection="1"/>
    <xf numFmtId="169" fontId="1" fillId="0" borderId="20" xfId="0" applyNumberFormat="1" applyFont="1" applyBorder="1" applyAlignment="1" applyProtection="1">
      <alignment wrapText="1"/>
    </xf>
    <xf numFmtId="0" fontId="0" fillId="0" borderId="70" xfId="0" applyBorder="1" applyAlignment="1" applyProtection="1">
      <alignment horizontal="right"/>
    </xf>
    <xf numFmtId="0" fontId="0" fillId="0" borderId="72" xfId="0" applyBorder="1" applyAlignment="1" applyProtection="1">
      <alignment horizontal="right"/>
    </xf>
    <xf numFmtId="0" fontId="9" fillId="0" borderId="70" xfId="0" applyFont="1" applyBorder="1" applyAlignment="1" applyProtection="1">
      <alignment horizontal="right"/>
    </xf>
    <xf numFmtId="171" fontId="9" fillId="4" borderId="25" xfId="0" applyNumberFormat="1" applyFont="1" applyFill="1" applyBorder="1" applyAlignment="1" applyProtection="1">
      <alignment horizontal="center"/>
      <protection locked="0"/>
    </xf>
    <xf numFmtId="0" fontId="0" fillId="4" borderId="73" xfId="0" applyFill="1" applyBorder="1" applyAlignment="1" applyProtection="1">
      <alignment horizontal="center"/>
      <protection locked="0"/>
    </xf>
    <xf numFmtId="171" fontId="9" fillId="4" borderId="73" xfId="0" applyNumberFormat="1" applyFont="1" applyFill="1" applyBorder="1" applyAlignment="1" applyProtection="1">
      <alignment horizontal="center"/>
      <protection locked="0"/>
    </xf>
    <xf numFmtId="173" fontId="9" fillId="4" borderId="73" xfId="0" applyNumberFormat="1" applyFont="1" applyFill="1" applyBorder="1" applyAlignment="1" applyProtection="1">
      <alignment horizontal="center"/>
      <protection locked="0"/>
    </xf>
    <xf numFmtId="167" fontId="8" fillId="4" borderId="73" xfId="0" applyNumberFormat="1" applyFont="1" applyFill="1" applyBorder="1" applyAlignment="1" applyProtection="1">
      <alignment horizontal="center"/>
      <protection locked="0"/>
    </xf>
    <xf numFmtId="167" fontId="9" fillId="5" borderId="74" xfId="0" applyNumberFormat="1" applyFont="1" applyFill="1" applyBorder="1" applyAlignment="1" applyProtection="1">
      <alignment horizontal="center"/>
      <protection locked="0"/>
    </xf>
    <xf numFmtId="0" fontId="9" fillId="0" borderId="76" xfId="0" applyFont="1" applyBorder="1" applyAlignment="1" applyProtection="1">
      <alignment horizontal="right"/>
    </xf>
    <xf numFmtId="0" fontId="2" fillId="0" borderId="78" xfId="0" applyFont="1" applyFill="1" applyBorder="1" applyAlignment="1" applyProtection="1">
      <alignment horizontal="right"/>
    </xf>
    <xf numFmtId="171" fontId="12" fillId="3" borderId="75" xfId="0" applyNumberFormat="1" applyFont="1" applyFill="1" applyBorder="1" applyAlignment="1" applyProtection="1">
      <alignment horizontal="center"/>
    </xf>
    <xf numFmtId="0" fontId="2" fillId="0" borderId="71" xfId="0" applyFont="1" applyBorder="1" applyAlignment="1" applyProtection="1">
      <alignment horizontal="right"/>
    </xf>
    <xf numFmtId="173" fontId="12" fillId="3" borderId="75" xfId="0" applyNumberFormat="1" applyFont="1" applyFill="1" applyBorder="1" applyAlignment="1" applyProtection="1">
      <alignment horizontal="center"/>
    </xf>
    <xf numFmtId="0" fontId="0" fillId="0" borderId="76" xfId="0" applyFill="1" applyBorder="1" applyAlignment="1" applyProtection="1">
      <alignment horizontal="right"/>
    </xf>
    <xf numFmtId="167" fontId="9" fillId="3" borderId="75" xfId="0" applyNumberFormat="1" applyFont="1" applyFill="1" applyBorder="1" applyAlignment="1" applyProtection="1">
      <alignment horizontal="center"/>
    </xf>
    <xf numFmtId="0" fontId="1" fillId="0" borderId="17" xfId="0" applyFont="1" applyBorder="1" applyAlignment="1" applyProtection="1">
      <alignment horizontal="left"/>
    </xf>
    <xf numFmtId="0" fontId="0" fillId="0" borderId="8" xfId="0" applyBorder="1" applyAlignment="1" applyProtection="1">
      <alignment horizontal="left"/>
    </xf>
    <xf numFmtId="0" fontId="2" fillId="0" borderId="79" xfId="0" applyFont="1" applyBorder="1" applyAlignment="1" applyProtection="1"/>
    <xf numFmtId="0" fontId="0" fillId="0" borderId="80" xfId="0" applyBorder="1" applyAlignment="1" applyProtection="1"/>
    <xf numFmtId="0" fontId="0" fillId="0" borderId="80" xfId="0" applyBorder="1" applyProtection="1"/>
    <xf numFmtId="0" fontId="0" fillId="0" borderId="80" xfId="0" applyBorder="1" applyAlignment="1" applyProtection="1">
      <alignment horizontal="left"/>
    </xf>
    <xf numFmtId="175" fontId="9" fillId="4" borderId="82" xfId="0" applyNumberFormat="1" applyFont="1" applyFill="1" applyBorder="1" applyProtection="1">
      <protection locked="0"/>
    </xf>
    <xf numFmtId="175" fontId="9" fillId="4" borderId="83" xfId="0" applyNumberFormat="1" applyFont="1" applyFill="1" applyBorder="1" applyProtection="1">
      <protection locked="0"/>
    </xf>
    <xf numFmtId="175" fontId="9" fillId="4" borderId="84" xfId="0" applyNumberFormat="1" applyFont="1" applyFill="1" applyBorder="1" applyProtection="1">
      <protection locked="0"/>
    </xf>
    <xf numFmtId="49" fontId="1" fillId="0" borderId="6" xfId="0" applyNumberFormat="1" applyFont="1" applyBorder="1" applyAlignment="1" applyProtection="1">
      <alignment horizontal="right"/>
    </xf>
    <xf numFmtId="49" fontId="1" fillId="0" borderId="18" xfId="0" applyNumberFormat="1" applyFont="1" applyBorder="1" applyAlignment="1" applyProtection="1">
      <alignment horizontal="right"/>
    </xf>
    <xf numFmtId="0" fontId="1" fillId="0" borderId="6" xfId="0" applyFont="1" applyBorder="1" applyAlignment="1" applyProtection="1"/>
    <xf numFmtId="171" fontId="9" fillId="10" borderId="25" xfId="0" applyNumberFormat="1" applyFont="1" applyFill="1" applyBorder="1" applyAlignment="1" applyProtection="1">
      <alignment horizontal="center"/>
      <protection locked="0"/>
    </xf>
    <xf numFmtId="0" fontId="0" fillId="10" borderId="0" xfId="0" applyFill="1" applyBorder="1" applyAlignment="1" applyProtection="1">
      <protection locked="0"/>
    </xf>
    <xf numFmtId="0" fontId="39" fillId="9" borderId="0" xfId="0" applyFont="1" applyFill="1" applyBorder="1" applyAlignment="1" applyProtection="1">
      <alignment vertical="center"/>
      <protection locked="0"/>
    </xf>
    <xf numFmtId="0" fontId="1" fillId="0" borderId="0" xfId="0" applyFont="1" applyBorder="1" applyAlignment="1" applyProtection="1">
      <alignment horizontal="right" vertical="center"/>
    </xf>
    <xf numFmtId="0" fontId="0" fillId="0" borderId="0" xfId="0" applyBorder="1" applyAlignment="1" applyProtection="1">
      <alignment vertical="center"/>
    </xf>
    <xf numFmtId="0" fontId="1" fillId="0" borderId="0" xfId="0" applyFont="1" applyBorder="1" applyAlignment="1" applyProtection="1">
      <alignment horizontal="left" vertical="center"/>
    </xf>
    <xf numFmtId="0" fontId="0" fillId="0" borderId="31" xfId="0" applyBorder="1" applyAlignment="1" applyProtection="1">
      <alignment vertical="center"/>
    </xf>
    <xf numFmtId="0" fontId="0" fillId="0" borderId="0" xfId="0" applyAlignment="1" applyProtection="1">
      <alignment vertical="center"/>
    </xf>
    <xf numFmtId="0" fontId="39" fillId="9" borderId="0" xfId="0" applyFont="1" applyFill="1" applyBorder="1" applyAlignment="1" applyProtection="1">
      <alignment vertical="center"/>
    </xf>
    <xf numFmtId="0" fontId="1" fillId="0" borderId="0" xfId="0" applyFont="1"/>
    <xf numFmtId="0" fontId="23" fillId="0" borderId="0" xfId="0" applyFont="1"/>
    <xf numFmtId="0" fontId="0" fillId="0" borderId="25" xfId="0" applyBorder="1"/>
    <xf numFmtId="0" fontId="0" fillId="0" borderId="77" xfId="0" applyBorder="1"/>
    <xf numFmtId="0" fontId="0" fillId="0" borderId="26" xfId="0" applyBorder="1"/>
    <xf numFmtId="0" fontId="9" fillId="0" borderId="26" xfId="0" applyFont="1" applyBorder="1"/>
    <xf numFmtId="0" fontId="9" fillId="0" borderId="77" xfId="0" applyFont="1" applyBorder="1"/>
    <xf numFmtId="0" fontId="9" fillId="0" borderId="25" xfId="0" applyFont="1" applyBorder="1"/>
    <xf numFmtId="0" fontId="1" fillId="0" borderId="30" xfId="0" applyFont="1" applyBorder="1" applyAlignment="1" applyProtection="1">
      <alignment horizontal="right" vertical="center"/>
    </xf>
    <xf numFmtId="0" fontId="0" fillId="0" borderId="3" xfId="0" applyBorder="1"/>
    <xf numFmtId="0" fontId="0" fillId="0" borderId="5" xfId="0" applyBorder="1"/>
    <xf numFmtId="0" fontId="0" fillId="0" borderId="86" xfId="0" applyBorder="1"/>
    <xf numFmtId="0" fontId="0" fillId="0" borderId="87" xfId="0" applyBorder="1"/>
    <xf numFmtId="0" fontId="9" fillId="0" borderId="85" xfId="0" applyFont="1" applyBorder="1"/>
    <xf numFmtId="0" fontId="9" fillId="0" borderId="5" xfId="0" applyFont="1" applyBorder="1"/>
    <xf numFmtId="0" fontId="9" fillId="0" borderId="7" xfId="0" applyFont="1" applyBorder="1"/>
    <xf numFmtId="49" fontId="0" fillId="0" borderId="0" xfId="0" applyNumberFormat="1" applyAlignment="1">
      <alignment horizontal="center"/>
    </xf>
    <xf numFmtId="0" fontId="43" fillId="0" borderId="0" xfId="0" applyFont="1" applyProtection="1"/>
    <xf numFmtId="0" fontId="0" fillId="4" borderId="77" xfId="0" applyFill="1" applyBorder="1" applyAlignment="1" applyProtection="1">
      <alignment horizontal="center"/>
      <protection locked="0"/>
    </xf>
    <xf numFmtId="167" fontId="9" fillId="5" borderId="77" xfId="0" applyNumberFormat="1" applyFont="1" applyFill="1" applyBorder="1" applyAlignment="1" applyProtection="1">
      <alignment horizontal="center"/>
      <protection locked="0"/>
    </xf>
    <xf numFmtId="167" fontId="9" fillId="4" borderId="73" xfId="0" applyNumberFormat="1" applyFont="1" applyFill="1" applyBorder="1" applyAlignment="1" applyProtection="1">
      <alignment horizontal="center"/>
      <protection locked="0"/>
    </xf>
    <xf numFmtId="0" fontId="0" fillId="2" borderId="8" xfId="0" applyFill="1" applyBorder="1" applyAlignment="1" applyProtection="1">
      <protection locked="0"/>
    </xf>
    <xf numFmtId="0" fontId="9" fillId="0" borderId="0" xfId="0" applyFont="1" applyProtection="1"/>
    <xf numFmtId="0" fontId="0" fillId="0" borderId="19" xfId="0" applyFill="1" applyBorder="1"/>
    <xf numFmtId="0" fontId="9" fillId="0" borderId="3" xfId="0" applyFont="1" applyFill="1" applyBorder="1"/>
    <xf numFmtId="0" fontId="0" fillId="0" borderId="17" xfId="0" applyFill="1" applyBorder="1"/>
    <xf numFmtId="0" fontId="9" fillId="0" borderId="7" xfId="0" applyFont="1" applyFill="1" applyBorder="1"/>
    <xf numFmtId="0" fontId="44" fillId="0" borderId="4" xfId="0" applyFont="1" applyFill="1" applyBorder="1"/>
    <xf numFmtId="0" fontId="44" fillId="0" borderId="5" xfId="0" applyFont="1" applyFill="1" applyBorder="1"/>
    <xf numFmtId="0" fontId="45" fillId="0" borderId="19" xfId="0" applyFont="1" applyFill="1" applyBorder="1"/>
    <xf numFmtId="0" fontId="45" fillId="0" borderId="3" xfId="0" applyFont="1" applyFill="1" applyBorder="1"/>
    <xf numFmtId="0" fontId="45" fillId="0" borderId="17" xfId="0" applyFont="1" applyFill="1" applyBorder="1"/>
    <xf numFmtId="0" fontId="45" fillId="0" borderId="7" xfId="0" applyFont="1" applyFill="1" applyBorder="1"/>
    <xf numFmtId="0" fontId="46" fillId="0" borderId="20" xfId="0" applyFont="1" applyBorder="1"/>
    <xf numFmtId="0" fontId="46" fillId="0" borderId="23" xfId="0" applyFont="1" applyBorder="1" applyAlignment="1">
      <alignment horizontal="center" vertical="center"/>
    </xf>
    <xf numFmtId="0" fontId="46" fillId="0" borderId="18" xfId="0" applyFont="1" applyBorder="1"/>
    <xf numFmtId="0" fontId="46" fillId="0" borderId="19" xfId="0" applyFont="1" applyBorder="1"/>
    <xf numFmtId="0" fontId="46" fillId="0" borderId="3" xfId="0" applyFont="1" applyBorder="1"/>
    <xf numFmtId="0" fontId="46" fillId="0" borderId="17" xfId="0" applyFont="1" applyBorder="1"/>
    <xf numFmtId="0" fontId="46" fillId="0" borderId="7" xfId="0" applyFont="1" applyBorder="1"/>
    <xf numFmtId="0" fontId="46" fillId="0" borderId="19" xfId="0" applyFont="1" applyFill="1" applyBorder="1"/>
    <xf numFmtId="0" fontId="46" fillId="0" borderId="3" xfId="0" applyFont="1" applyFill="1" applyBorder="1"/>
    <xf numFmtId="0" fontId="46" fillId="0" borderId="17" xfId="0" applyFont="1" applyFill="1" applyBorder="1"/>
    <xf numFmtId="0" fontId="46" fillId="0" borderId="7" xfId="0" applyFont="1" applyFill="1" applyBorder="1"/>
    <xf numFmtId="0" fontId="46" fillId="0" borderId="2" xfId="0" applyFont="1" applyBorder="1" applyAlignment="1">
      <alignment horizontal="center" vertical="center"/>
    </xf>
    <xf numFmtId="0" fontId="46" fillId="0" borderId="8" xfId="0" applyFont="1" applyBorder="1" applyAlignment="1">
      <alignment horizontal="center" vertical="center"/>
    </xf>
    <xf numFmtId="0" fontId="46" fillId="0" borderId="4" xfId="0" applyFont="1" applyFill="1" applyBorder="1"/>
    <xf numFmtId="0" fontId="46" fillId="0" borderId="5" xfId="0" applyFont="1" applyFill="1" applyBorder="1"/>
    <xf numFmtId="0" fontId="9" fillId="2" borderId="6" xfId="0" applyFont="1" applyFill="1" applyBorder="1" applyProtection="1">
      <protection locked="0"/>
    </xf>
    <xf numFmtId="0" fontId="47" fillId="0" borderId="0" xfId="0" applyFont="1" applyBorder="1" applyProtection="1"/>
    <xf numFmtId="0" fontId="9" fillId="0" borderId="69" xfId="0" applyFont="1" applyFill="1" applyBorder="1" applyAlignment="1" applyProtection="1">
      <alignment horizontal="right"/>
    </xf>
    <xf numFmtId="1" fontId="9" fillId="9" borderId="81" xfId="0" applyNumberFormat="1" applyFont="1" applyFill="1" applyBorder="1" applyProtection="1">
      <protection locked="0"/>
    </xf>
    <xf numFmtId="0" fontId="1" fillId="0" borderId="0" xfId="0" applyFont="1" applyBorder="1" applyProtection="1"/>
    <xf numFmtId="0" fontId="0" fillId="0" borderId="0" xfId="0" applyFont="1" applyProtection="1"/>
    <xf numFmtId="0" fontId="0" fillId="0" borderId="0" xfId="0" applyBorder="1" applyAlignment="1" applyProtection="1"/>
    <xf numFmtId="171" fontId="9" fillId="4" borderId="77" xfId="0" applyNumberFormat="1" applyFont="1" applyFill="1" applyBorder="1" applyAlignment="1" applyProtection="1">
      <alignment horizontal="center"/>
      <protection locked="0"/>
    </xf>
    <xf numFmtId="173" fontId="9" fillId="4" borderId="77" xfId="0" applyNumberFormat="1" applyFont="1" applyFill="1" applyBorder="1" applyAlignment="1" applyProtection="1">
      <alignment horizontal="center"/>
      <protection locked="0"/>
    </xf>
    <xf numFmtId="167" fontId="9" fillId="4" borderId="77" xfId="0" applyNumberFormat="1" applyFont="1" applyFill="1" applyBorder="1" applyAlignment="1" applyProtection="1">
      <alignment horizontal="center"/>
      <protection locked="0"/>
    </xf>
    <xf numFmtId="0" fontId="1" fillId="0" borderId="30" xfId="0" applyFont="1" applyBorder="1" applyAlignment="1" applyProtection="1">
      <alignment horizontal="right"/>
    </xf>
    <xf numFmtId="0" fontId="1" fillId="0" borderId="0" xfId="0" applyFont="1" applyBorder="1" applyAlignment="1" applyProtection="1">
      <alignment horizontal="center"/>
    </xf>
    <xf numFmtId="165" fontId="5" fillId="0" borderId="0" xfId="0" applyNumberFormat="1" applyFont="1" applyProtection="1"/>
    <xf numFmtId="0" fontId="51" fillId="0" borderId="89" xfId="2" applyFont="1" applyBorder="1" applyProtection="1"/>
    <xf numFmtId="0" fontId="51" fillId="0" borderId="0" xfId="2" applyFont="1" applyBorder="1" applyProtection="1"/>
    <xf numFmtId="0" fontId="41" fillId="0" borderId="89" xfId="2" applyFont="1" applyBorder="1" applyProtection="1"/>
    <xf numFmtId="0" fontId="51" fillId="0" borderId="8" xfId="2" applyFont="1" applyBorder="1" applyProtection="1"/>
    <xf numFmtId="0" fontId="51" fillId="0" borderId="123" xfId="2" applyFont="1" applyBorder="1" applyProtection="1"/>
    <xf numFmtId="0" fontId="51" fillId="0" borderId="124" xfId="2" applyFont="1" applyBorder="1" applyProtection="1"/>
    <xf numFmtId="0" fontId="51" fillId="0" borderId="7" xfId="2" applyFont="1" applyBorder="1" applyProtection="1"/>
    <xf numFmtId="0" fontId="9" fillId="0" borderId="125" xfId="2" applyFont="1" applyBorder="1" applyProtection="1"/>
    <xf numFmtId="0" fontId="9" fillId="0" borderId="126" xfId="2" applyFont="1" applyBorder="1" applyProtection="1"/>
    <xf numFmtId="0" fontId="41" fillId="0" borderId="123" xfId="2" applyFont="1" applyBorder="1" applyAlignment="1" applyProtection="1">
      <alignment horizontal="center"/>
    </xf>
    <xf numFmtId="0" fontId="41" fillId="0" borderId="124" xfId="2" applyFont="1" applyBorder="1" applyAlignment="1" applyProtection="1">
      <alignment horizontal="center"/>
    </xf>
    <xf numFmtId="0" fontId="43" fillId="0" borderId="0" xfId="0" applyFont="1"/>
    <xf numFmtId="0" fontId="43" fillId="0" borderId="0" xfId="0" applyFont="1" applyBorder="1" applyProtection="1"/>
    <xf numFmtId="4" fontId="43" fillId="0" borderId="0" xfId="0" applyNumberFormat="1" applyFont="1" applyBorder="1" applyProtection="1"/>
    <xf numFmtId="0" fontId="43" fillId="0" borderId="0" xfId="0" applyFont="1" applyFill="1" applyBorder="1" applyProtection="1"/>
    <xf numFmtId="0" fontId="56" fillId="0" borderId="0" xfId="0" applyFont="1" applyProtection="1"/>
    <xf numFmtId="0" fontId="43" fillId="0" borderId="0" xfId="0" applyFont="1" applyAlignment="1" applyProtection="1">
      <alignment vertical="center"/>
    </xf>
    <xf numFmtId="0" fontId="57" fillId="0" borderId="0" xfId="0" applyFont="1"/>
    <xf numFmtId="0" fontId="23" fillId="0" borderId="0" xfId="0" applyFont="1" applyProtection="1"/>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Protection="1">
      <protection locked="0"/>
    </xf>
    <xf numFmtId="0" fontId="51" fillId="0" borderId="125" xfId="2" applyFont="1" applyBorder="1" applyAlignment="1" applyProtection="1">
      <alignment horizontal="centerContinuous"/>
    </xf>
    <xf numFmtId="0" fontId="51" fillId="0" borderId="126" xfId="2" applyFont="1" applyBorder="1" applyAlignment="1" applyProtection="1">
      <alignment horizontal="centerContinuous"/>
    </xf>
    <xf numFmtId="0" fontId="9" fillId="0" borderId="19" xfId="0" applyFont="1" applyBorder="1" applyAlignment="1" applyProtection="1">
      <alignment horizontal="left" vertical="top" wrapText="1" indent="1"/>
    </xf>
    <xf numFmtId="0" fontId="9" fillId="0" borderId="2" xfId="0" applyFont="1" applyBorder="1" applyProtection="1"/>
    <xf numFmtId="0" fontId="49" fillId="0" borderId="2" xfId="0" applyFont="1" applyBorder="1" applyProtection="1"/>
    <xf numFmtId="0" fontId="50" fillId="0" borderId="2" xfId="0" applyFont="1" applyBorder="1" applyProtection="1"/>
    <xf numFmtId="0" fontId="51" fillId="0" borderId="88" xfId="0" applyFont="1" applyBorder="1" applyAlignment="1" applyProtection="1">
      <alignment horizontal="left"/>
    </xf>
    <xf numFmtId="0" fontId="52" fillId="0" borderId="4" xfId="0" applyFont="1" applyBorder="1" applyAlignment="1" applyProtection="1">
      <alignment horizontal="left"/>
      <protection locked="0"/>
    </xf>
    <xf numFmtId="0" fontId="9" fillId="0" borderId="0" xfId="0" applyFont="1" applyBorder="1" applyProtection="1"/>
    <xf numFmtId="0" fontId="5" fillId="0" borderId="0" xfId="0" applyFont="1" applyBorder="1" applyProtection="1"/>
    <xf numFmtId="0" fontId="7" fillId="0" borderId="0" xfId="0" applyFont="1" applyBorder="1" applyProtection="1"/>
    <xf numFmtId="0" fontId="53" fillId="0" borderId="4" xfId="0" applyFont="1" applyBorder="1" applyProtection="1"/>
    <xf numFmtId="0" fontId="54" fillId="0" borderId="0" xfId="0" applyFont="1" applyBorder="1" applyProtection="1"/>
    <xf numFmtId="0" fontId="51" fillId="0" borderId="89" xfId="0" applyFont="1" applyBorder="1" applyProtection="1"/>
    <xf numFmtId="0" fontId="9" fillId="12" borderId="0" xfId="0" applyFont="1" applyFill="1" applyBorder="1" applyProtection="1">
      <protection locked="0"/>
    </xf>
    <xf numFmtId="0" fontId="9" fillId="0" borderId="4" xfId="0" applyFont="1" applyBorder="1" applyProtection="1"/>
    <xf numFmtId="0" fontId="9" fillId="0" borderId="0" xfId="0" applyFont="1" applyBorder="1" applyAlignment="1" applyProtection="1">
      <alignment horizontal="left"/>
    </xf>
    <xf numFmtId="0" fontId="58" fillId="0" borderId="0" xfId="0" applyFont="1" applyBorder="1" applyAlignment="1" applyProtection="1"/>
    <xf numFmtId="0" fontId="43" fillId="0" borderId="0" xfId="0" applyFont="1" applyBorder="1" applyAlignment="1" applyProtection="1"/>
    <xf numFmtId="0" fontId="51" fillId="0" borderId="91" xfId="0" applyFont="1" applyBorder="1" applyProtection="1"/>
    <xf numFmtId="0" fontId="51" fillId="0" borderId="92" xfId="0" applyFont="1" applyBorder="1" applyProtection="1"/>
    <xf numFmtId="0" fontId="9" fillId="0" borderId="125" xfId="0" applyFont="1" applyBorder="1" applyProtection="1"/>
    <xf numFmtId="0" fontId="51" fillId="0" borderId="96" xfId="0" applyFont="1" applyBorder="1" applyProtection="1"/>
    <xf numFmtId="0" fontId="51" fillId="0" borderId="97" xfId="0" applyFont="1" applyBorder="1" applyProtection="1"/>
    <xf numFmtId="0" fontId="51" fillId="0" borderId="0" xfId="0" applyFont="1" applyBorder="1" applyProtection="1"/>
    <xf numFmtId="0" fontId="7" fillId="0" borderId="93" xfId="0" applyFont="1" applyBorder="1" applyProtection="1"/>
    <xf numFmtId="0" fontId="41" fillId="0" borderId="89" xfId="0" applyFont="1" applyBorder="1" applyProtection="1"/>
    <xf numFmtId="0" fontId="5" fillId="0" borderId="93" xfId="0" applyFont="1" applyBorder="1" applyProtection="1"/>
    <xf numFmtId="0" fontId="5" fillId="0" borderId="94" xfId="0" applyFont="1" applyBorder="1" applyProtection="1"/>
    <xf numFmtId="164" fontId="5" fillId="0" borderId="95" xfId="0" applyNumberFormat="1" applyFont="1" applyBorder="1" applyProtection="1"/>
    <xf numFmtId="0" fontId="5" fillId="0" borderId="95" xfId="0" applyFont="1" applyBorder="1" applyProtection="1"/>
    <xf numFmtId="0" fontId="51" fillId="0" borderId="89" xfId="0" applyFont="1" applyBorder="1" applyAlignment="1" applyProtection="1">
      <alignment horizontal="right"/>
    </xf>
    <xf numFmtId="49" fontId="41" fillId="12" borderId="90" xfId="0" applyNumberFormat="1" applyFont="1" applyFill="1" applyBorder="1" applyAlignment="1" applyProtection="1">
      <protection locked="0"/>
    </xf>
    <xf numFmtId="178" fontId="5" fillId="0" borderId="95" xfId="0" applyNumberFormat="1" applyFont="1" applyBorder="1" applyProtection="1"/>
    <xf numFmtId="179" fontId="5" fillId="0" borderId="95" xfId="0" applyNumberFormat="1" applyFont="1" applyBorder="1" applyProtection="1"/>
    <xf numFmtId="2" fontId="5" fillId="0" borderId="95" xfId="0" applyNumberFormat="1" applyFont="1" applyBorder="1" applyProtection="1"/>
    <xf numFmtId="0" fontId="41" fillId="0" borderId="89" xfId="0" applyFont="1" applyBorder="1" applyAlignment="1" applyProtection="1">
      <alignment horizontal="center"/>
    </xf>
    <xf numFmtId="0" fontId="41" fillId="0" borderId="89" xfId="0" applyFont="1" applyBorder="1" applyAlignment="1" applyProtection="1">
      <alignment horizontal="left"/>
    </xf>
    <xf numFmtId="0" fontId="51" fillId="0" borderId="89" xfId="0" applyFont="1" applyBorder="1" applyAlignment="1" applyProtection="1">
      <alignment horizontal="center"/>
    </xf>
    <xf numFmtId="165" fontId="5" fillId="0" borderId="95" xfId="0" applyNumberFormat="1" applyFont="1" applyBorder="1" applyProtection="1"/>
    <xf numFmtId="0" fontId="9" fillId="0" borderId="125" xfId="0" applyFont="1" applyBorder="1" applyAlignment="1" applyProtection="1">
      <alignment horizontal="centerContinuous"/>
    </xf>
    <xf numFmtId="0" fontId="51" fillId="0" borderId="125" xfId="0" applyFont="1" applyBorder="1" applyAlignment="1" applyProtection="1">
      <alignment horizontal="centerContinuous"/>
    </xf>
    <xf numFmtId="0" fontId="51" fillId="0" borderId="126" xfId="0" applyFont="1" applyBorder="1" applyAlignment="1" applyProtection="1">
      <alignment horizontal="centerContinuous"/>
    </xf>
    <xf numFmtId="0" fontId="51" fillId="0" borderId="98" xfId="0" applyFont="1" applyBorder="1" applyAlignment="1" applyProtection="1">
      <alignment horizontal="center"/>
    </xf>
    <xf numFmtId="186" fontId="41" fillId="0" borderId="99" xfId="0" applyNumberFormat="1" applyFont="1" applyFill="1" applyBorder="1" applyAlignment="1" applyProtection="1">
      <alignment horizontal="center"/>
    </xf>
    <xf numFmtId="0" fontId="51" fillId="0" borderId="128" xfId="0" applyFont="1" applyFill="1" applyBorder="1" applyAlignment="1" applyProtection="1">
      <alignment horizontal="center"/>
    </xf>
    <xf numFmtId="0" fontId="51" fillId="12" borderId="129" xfId="0" applyNumberFormat="1" applyFont="1" applyFill="1" applyBorder="1" applyAlignment="1" applyProtection="1">
      <alignment horizontal="center"/>
      <protection locked="0"/>
    </xf>
    <xf numFmtId="0" fontId="51" fillId="12" borderId="130" xfId="0" applyNumberFormat="1" applyFont="1" applyFill="1" applyBorder="1" applyAlignment="1" applyProtection="1">
      <alignment horizontal="center"/>
      <protection locked="0"/>
    </xf>
    <xf numFmtId="0" fontId="51" fillId="0" borderId="95" xfId="0" applyFont="1" applyBorder="1" applyAlignment="1" applyProtection="1">
      <alignment horizontal="center"/>
    </xf>
    <xf numFmtId="0" fontId="51" fillId="12" borderId="93" xfId="0" applyNumberFormat="1" applyFont="1" applyFill="1" applyBorder="1" applyAlignment="1" applyProtection="1">
      <alignment horizontal="center"/>
      <protection locked="0"/>
    </xf>
    <xf numFmtId="0" fontId="51" fillId="0" borderId="93" xfId="0" applyNumberFormat="1" applyFont="1" applyBorder="1" applyAlignment="1" applyProtection="1">
      <alignment horizontal="center"/>
    </xf>
    <xf numFmtId="0" fontId="51" fillId="0" borderId="97" xfId="0" applyFont="1" applyBorder="1" applyAlignment="1" applyProtection="1">
      <alignment horizontal="center"/>
    </xf>
    <xf numFmtId="186" fontId="41" fillId="0" borderId="94" xfId="0" applyNumberFormat="1" applyFont="1" applyFill="1" applyBorder="1" applyAlignment="1" applyProtection="1">
      <alignment horizontal="center"/>
    </xf>
    <xf numFmtId="49" fontId="51" fillId="12" borderId="94" xfId="0" applyNumberFormat="1" applyFont="1" applyFill="1" applyBorder="1" applyAlignment="1" applyProtection="1">
      <alignment horizontal="center"/>
      <protection locked="0"/>
    </xf>
    <xf numFmtId="49" fontId="51" fillId="0" borderId="94" xfId="0" applyNumberFormat="1" applyFont="1" applyBorder="1" applyAlignment="1" applyProtection="1">
      <alignment horizontal="center"/>
    </xf>
    <xf numFmtId="0" fontId="51" fillId="0" borderId="94" xfId="0" applyNumberFormat="1" applyFont="1" applyBorder="1" applyAlignment="1" applyProtection="1">
      <alignment horizontal="center"/>
    </xf>
    <xf numFmtId="180" fontId="51" fillId="12" borderId="94" xfId="0" applyNumberFormat="1" applyFont="1" applyFill="1" applyBorder="1" applyAlignment="1" applyProtection="1">
      <alignment horizontal="center"/>
      <protection locked="0"/>
    </xf>
    <xf numFmtId="0" fontId="51" fillId="0" borderId="101" xfId="0" applyFont="1" applyFill="1" applyBorder="1" applyAlignment="1" applyProtection="1">
      <alignment horizontal="center"/>
    </xf>
    <xf numFmtId="0" fontId="51" fillId="12" borderId="102" xfId="0" applyNumberFormat="1" applyFont="1" applyFill="1" applyBorder="1" applyAlignment="1" applyProtection="1">
      <alignment horizontal="center"/>
      <protection locked="0"/>
    </xf>
    <xf numFmtId="0" fontId="51" fillId="12" borderId="103" xfId="0" applyNumberFormat="1" applyFont="1" applyFill="1" applyBorder="1" applyAlignment="1" applyProtection="1">
      <alignment horizontal="center"/>
      <protection locked="0"/>
    </xf>
    <xf numFmtId="0" fontId="51" fillId="12" borderId="104" xfId="0" applyFont="1" applyFill="1" applyBorder="1" applyAlignment="1" applyProtection="1">
      <alignment horizontal="center"/>
    </xf>
    <xf numFmtId="177" fontId="51" fillId="0" borderId="94" xfId="0" applyNumberFormat="1" applyFont="1" applyFill="1" applyBorder="1" applyAlignment="1" applyProtection="1">
      <alignment horizontal="center"/>
    </xf>
    <xf numFmtId="177" fontId="51" fillId="0" borderId="100" xfId="0" applyNumberFormat="1" applyFont="1" applyFill="1" applyBorder="1" applyAlignment="1" applyProtection="1">
      <alignment horizontal="center"/>
    </xf>
    <xf numFmtId="0" fontId="51" fillId="0" borderId="105" xfId="0" applyFont="1" applyFill="1" applyBorder="1" applyAlignment="1" applyProtection="1">
      <alignment horizontal="center"/>
    </xf>
    <xf numFmtId="0" fontId="51" fillId="12" borderId="106" xfId="0" applyNumberFormat="1" applyFont="1" applyFill="1" applyBorder="1" applyAlignment="1" applyProtection="1">
      <alignment horizontal="center"/>
      <protection locked="0"/>
    </xf>
    <xf numFmtId="181" fontId="51" fillId="0" borderId="94" xfId="0" quotePrefix="1" applyNumberFormat="1" applyFont="1" applyFill="1" applyBorder="1" applyAlignment="1" applyProtection="1">
      <alignment horizontal="center"/>
    </xf>
    <xf numFmtId="181" fontId="51" fillId="12" borderId="93" xfId="0" applyNumberFormat="1" applyFont="1" applyFill="1" applyBorder="1" applyAlignment="1" applyProtection="1">
      <alignment horizontal="center"/>
      <protection locked="0"/>
    </xf>
    <xf numFmtId="181" fontId="51" fillId="12" borderId="106" xfId="0" applyNumberFormat="1" applyFont="1" applyFill="1" applyBorder="1" applyAlignment="1" applyProtection="1">
      <alignment horizontal="center"/>
      <protection locked="0"/>
    </xf>
    <xf numFmtId="0" fontId="51" fillId="0" borderId="104" xfId="0" applyFont="1" applyBorder="1" applyAlignment="1" applyProtection="1">
      <alignment horizontal="center"/>
    </xf>
    <xf numFmtId="181" fontId="51" fillId="0" borderId="94" xfId="0" applyNumberFormat="1" applyFont="1" applyFill="1" applyBorder="1" applyAlignment="1" applyProtection="1">
      <alignment horizontal="center"/>
    </xf>
    <xf numFmtId="181" fontId="51" fillId="0" borderId="100" xfId="0" applyNumberFormat="1" applyFont="1" applyFill="1" applyBorder="1" applyAlignment="1" applyProtection="1">
      <alignment horizontal="center"/>
    </xf>
    <xf numFmtId="182" fontId="51" fillId="0" borderId="94" xfId="0" applyNumberFormat="1" applyFont="1" applyFill="1" applyBorder="1" applyAlignment="1" applyProtection="1">
      <alignment horizontal="center"/>
    </xf>
    <xf numFmtId="182" fontId="51" fillId="0" borderId="100" xfId="0" applyNumberFormat="1" applyFont="1" applyFill="1" applyBorder="1" applyAlignment="1" applyProtection="1">
      <alignment horizontal="center"/>
    </xf>
    <xf numFmtId="3" fontId="51" fillId="12" borderId="93" xfId="0" applyNumberFormat="1" applyFont="1" applyFill="1" applyBorder="1" applyAlignment="1" applyProtection="1">
      <alignment horizontal="center"/>
      <protection locked="0"/>
    </xf>
    <xf numFmtId="3" fontId="51" fillId="12" borderId="106" xfId="0" applyNumberFormat="1" applyFont="1" applyFill="1" applyBorder="1" applyAlignment="1" applyProtection="1">
      <alignment horizontal="center"/>
      <protection locked="0"/>
    </xf>
    <xf numFmtId="3" fontId="51" fillId="12" borderId="107" xfId="0" applyNumberFormat="1" applyFont="1" applyFill="1" applyBorder="1" applyAlignment="1" applyProtection="1">
      <alignment horizontal="center"/>
      <protection locked="0"/>
    </xf>
    <xf numFmtId="3" fontId="51" fillId="12" borderId="108" xfId="0" applyNumberFormat="1" applyFont="1" applyFill="1" applyBorder="1" applyAlignment="1" applyProtection="1">
      <alignment horizontal="center"/>
      <protection locked="0"/>
    </xf>
    <xf numFmtId="3" fontId="51" fillId="12" borderId="94" xfId="0" applyNumberFormat="1" applyFont="1" applyFill="1" applyBorder="1" applyAlignment="1" applyProtection="1">
      <alignment horizontal="center"/>
      <protection locked="0"/>
    </xf>
    <xf numFmtId="3" fontId="51" fillId="11" borderId="131" xfId="0" applyNumberFormat="1" applyFont="1" applyFill="1" applyBorder="1" applyAlignment="1" applyProtection="1">
      <alignment horizontal="center"/>
      <protection locked="0"/>
    </xf>
    <xf numFmtId="3" fontId="51" fillId="11" borderId="132" xfId="0" applyNumberFormat="1" applyFont="1" applyFill="1" applyBorder="1" applyAlignment="1" applyProtection="1">
      <alignment horizontal="center"/>
      <protection locked="0"/>
    </xf>
    <xf numFmtId="0" fontId="51" fillId="0" borderId="109" xfId="0" applyFont="1" applyFill="1" applyBorder="1" applyAlignment="1" applyProtection="1">
      <alignment horizontal="center"/>
    </xf>
    <xf numFmtId="3" fontId="51" fillId="12" borderId="110" xfId="0" applyNumberFormat="1" applyFont="1" applyFill="1" applyBorder="1" applyAlignment="1" applyProtection="1">
      <alignment horizontal="center"/>
      <protection locked="0"/>
    </xf>
    <xf numFmtId="3" fontId="51" fillId="11" borderId="111" xfId="0" applyNumberFormat="1" applyFont="1" applyFill="1" applyBorder="1" applyAlignment="1" applyProtection="1">
      <alignment horizontal="center"/>
      <protection locked="0"/>
    </xf>
    <xf numFmtId="3" fontId="51" fillId="11" borderId="112" xfId="0" applyNumberFormat="1" applyFont="1" applyFill="1" applyBorder="1" applyAlignment="1" applyProtection="1">
      <alignment horizontal="center"/>
      <protection locked="0"/>
    </xf>
    <xf numFmtId="0" fontId="51" fillId="0" borderId="89" xfId="0" applyFont="1" applyBorder="1" applyAlignment="1" applyProtection="1">
      <alignment horizontal="center" vertical="center"/>
    </xf>
    <xf numFmtId="0" fontId="9" fillId="0" borderId="92" xfId="0" applyFont="1" applyBorder="1" applyProtection="1"/>
    <xf numFmtId="0" fontId="51" fillId="0" borderId="125" xfId="0" applyFont="1" applyBorder="1" applyProtection="1"/>
    <xf numFmtId="0" fontId="9" fillId="0" borderId="125" xfId="0" quotePrefix="1" applyFont="1" applyBorder="1" applyAlignment="1" applyProtection="1">
      <alignment horizontal="left"/>
    </xf>
    <xf numFmtId="0" fontId="51" fillId="0" borderId="113" xfId="0" applyFont="1" applyBorder="1" applyAlignment="1" applyProtection="1">
      <alignment horizontal="center"/>
    </xf>
    <xf numFmtId="181" fontId="41" fillId="0" borderId="114" xfId="0" applyNumberFormat="1" applyFont="1" applyBorder="1" applyAlignment="1" applyProtection="1">
      <alignment horizontal="center"/>
    </xf>
    <xf numFmtId="181" fontId="41" fillId="0" borderId="115" xfId="0" applyNumberFormat="1" applyFont="1" applyBorder="1" applyAlignment="1" applyProtection="1">
      <alignment horizontal="center"/>
    </xf>
    <xf numFmtId="181" fontId="51" fillId="12" borderId="133" xfId="0" applyNumberFormat="1" applyFont="1" applyFill="1" applyBorder="1" applyAlignment="1" applyProtection="1">
      <alignment horizontal="center"/>
      <protection locked="0"/>
    </xf>
    <xf numFmtId="181" fontId="51" fillId="12" borderId="130" xfId="0" applyNumberFormat="1" applyFont="1" applyFill="1" applyBorder="1" applyAlignment="1" applyProtection="1">
      <alignment horizontal="center"/>
      <protection locked="0"/>
    </xf>
    <xf numFmtId="0" fontId="51" fillId="12" borderId="94" xfId="0" applyFont="1" applyFill="1" applyBorder="1" applyAlignment="1" applyProtection="1">
      <alignment horizontal="center"/>
    </xf>
    <xf numFmtId="0" fontId="51" fillId="12" borderId="94" xfId="0" applyNumberFormat="1" applyFont="1" applyFill="1" applyBorder="1" applyAlignment="1" applyProtection="1">
      <alignment horizontal="center"/>
    </xf>
    <xf numFmtId="0" fontId="51" fillId="12" borderId="100" xfId="0" applyNumberFormat="1" applyFont="1" applyFill="1" applyBorder="1" applyAlignment="1" applyProtection="1">
      <alignment horizontal="center"/>
    </xf>
    <xf numFmtId="0" fontId="51" fillId="12" borderId="104" xfId="0" applyFont="1" applyFill="1" applyBorder="1" applyAlignment="1" applyProtection="1">
      <alignment horizontal="center"/>
      <protection locked="0"/>
    </xf>
    <xf numFmtId="0" fontId="51" fillId="0" borderId="116" xfId="0" applyFont="1" applyFill="1" applyBorder="1" applyAlignment="1" applyProtection="1">
      <alignment horizontal="center"/>
    </xf>
    <xf numFmtId="181" fontId="51" fillId="12" borderId="117" xfId="0" applyNumberFormat="1" applyFont="1" applyFill="1" applyBorder="1" applyAlignment="1" applyProtection="1">
      <alignment horizontal="center"/>
      <protection locked="0"/>
    </xf>
    <xf numFmtId="181" fontId="51" fillId="12" borderId="102" xfId="0" applyNumberFormat="1" applyFont="1" applyFill="1" applyBorder="1" applyAlignment="1" applyProtection="1">
      <alignment horizontal="center"/>
      <protection locked="0"/>
    </xf>
    <xf numFmtId="181" fontId="51" fillId="12" borderId="103" xfId="0" applyNumberFormat="1" applyFont="1" applyFill="1" applyBorder="1" applyAlignment="1" applyProtection="1">
      <alignment horizontal="center"/>
      <protection locked="0"/>
    </xf>
    <xf numFmtId="181" fontId="51" fillId="12" borderId="110" xfId="0" applyNumberFormat="1" applyFont="1" applyFill="1" applyBorder="1" applyAlignment="1" applyProtection="1">
      <alignment horizontal="center"/>
      <protection locked="0"/>
    </xf>
    <xf numFmtId="181" fontId="51" fillId="11" borderId="111" xfId="0" applyNumberFormat="1" applyFont="1" applyFill="1" applyBorder="1" applyAlignment="1" applyProtection="1">
      <alignment horizontal="center"/>
      <protection locked="0"/>
    </xf>
    <xf numFmtId="181" fontId="51" fillId="11" borderId="112" xfId="0" applyNumberFormat="1" applyFont="1" applyFill="1" applyBorder="1" applyAlignment="1" applyProtection="1">
      <alignment horizontal="center"/>
      <protection locked="0"/>
    </xf>
    <xf numFmtId="183" fontId="51" fillId="0" borderId="94" xfId="0" applyNumberFormat="1" applyFont="1" applyFill="1" applyBorder="1" applyAlignment="1" applyProtection="1">
      <alignment horizontal="center"/>
    </xf>
    <xf numFmtId="183" fontId="51" fillId="0" borderId="100" xfId="0" applyNumberFormat="1" applyFont="1" applyFill="1" applyBorder="1" applyAlignment="1" applyProtection="1">
      <alignment horizontal="center"/>
    </xf>
    <xf numFmtId="0" fontId="51" fillId="12" borderId="94" xfId="0" applyNumberFormat="1" applyFont="1" applyFill="1" applyBorder="1" applyAlignment="1" applyProtection="1">
      <alignment horizontal="center"/>
      <protection locked="0"/>
    </xf>
    <xf numFmtId="0" fontId="51" fillId="12" borderId="100" xfId="0" applyNumberFormat="1" applyFont="1" applyFill="1" applyBorder="1" applyAlignment="1" applyProtection="1">
      <alignment horizontal="center"/>
      <protection locked="0"/>
    </xf>
    <xf numFmtId="0" fontId="51" fillId="12" borderId="93" xfId="0" applyFont="1" applyFill="1" applyBorder="1" applyAlignment="1" applyProtection="1">
      <alignment horizontal="center"/>
      <protection locked="0"/>
    </xf>
    <xf numFmtId="181" fontId="51" fillId="0" borderId="93" xfId="0" applyNumberFormat="1" applyFont="1" applyBorder="1" applyAlignment="1" applyProtection="1">
      <alignment horizontal="center"/>
    </xf>
    <xf numFmtId="181" fontId="51" fillId="0" borderId="100" xfId="0" applyNumberFormat="1" applyFont="1" applyBorder="1" applyAlignment="1" applyProtection="1">
      <alignment horizontal="center"/>
    </xf>
    <xf numFmtId="184" fontId="51" fillId="0" borderId="94" xfId="0" applyNumberFormat="1" applyFont="1" applyFill="1" applyBorder="1" applyAlignment="1" applyProtection="1">
      <alignment horizontal="center"/>
    </xf>
    <xf numFmtId="184" fontId="51" fillId="0" borderId="100" xfId="0" applyNumberFormat="1" applyFont="1" applyFill="1" applyBorder="1" applyAlignment="1" applyProtection="1">
      <alignment horizontal="center"/>
    </xf>
    <xf numFmtId="0" fontId="51" fillId="0" borderId="94" xfId="0" applyFont="1" applyFill="1" applyBorder="1" applyAlignment="1" applyProtection="1">
      <alignment horizontal="center"/>
    </xf>
    <xf numFmtId="185" fontId="51" fillId="0" borderId="94" xfId="0" applyNumberFormat="1" applyFont="1" applyFill="1" applyBorder="1" applyAlignment="1" applyProtection="1">
      <alignment horizontal="center"/>
    </xf>
    <xf numFmtId="185" fontId="51" fillId="0" borderId="100" xfId="0" applyNumberFormat="1" applyFont="1" applyFill="1" applyBorder="1" applyAlignment="1" applyProtection="1">
      <alignment horizontal="center"/>
    </xf>
    <xf numFmtId="0" fontId="51" fillId="0" borderId="89" xfId="0" quotePrefix="1" applyFont="1" applyBorder="1" applyAlignment="1" applyProtection="1">
      <alignment horizontal="left"/>
    </xf>
    <xf numFmtId="0" fontId="51" fillId="0" borderId="104" xfId="0" applyFont="1" applyFill="1" applyBorder="1" applyAlignment="1" applyProtection="1">
      <alignment horizontal="center"/>
    </xf>
    <xf numFmtId="3" fontId="51" fillId="12" borderId="117" xfId="0" applyNumberFormat="1" applyFont="1" applyFill="1" applyBorder="1" applyAlignment="1" applyProtection="1">
      <alignment horizontal="center"/>
      <protection locked="0"/>
    </xf>
    <xf numFmtId="3" fontId="51" fillId="12" borderId="118" xfId="0" applyNumberFormat="1" applyFont="1" applyFill="1" applyBorder="1" applyAlignment="1" applyProtection="1">
      <alignment horizontal="center"/>
      <protection locked="0"/>
    </xf>
    <xf numFmtId="3" fontId="51" fillId="12" borderId="119" xfId="0" applyNumberFormat="1" applyFont="1" applyFill="1" applyBorder="1" applyAlignment="1" applyProtection="1">
      <alignment horizontal="center"/>
      <protection locked="0"/>
    </xf>
    <xf numFmtId="3" fontId="51" fillId="12" borderId="120" xfId="0" applyNumberFormat="1" applyFont="1" applyFill="1" applyBorder="1" applyAlignment="1" applyProtection="1">
      <alignment horizontal="center"/>
      <protection locked="0"/>
    </xf>
    <xf numFmtId="0" fontId="9" fillId="0" borderId="97" xfId="0" applyFont="1" applyBorder="1" applyProtection="1"/>
    <xf numFmtId="0" fontId="51" fillId="12" borderId="114" xfId="0" applyFont="1" applyFill="1" applyBorder="1" applyAlignment="1" applyProtection="1">
      <alignment horizontal="center"/>
      <protection locked="0"/>
    </xf>
    <xf numFmtId="0" fontId="51" fillId="12" borderId="115" xfId="0" applyFont="1" applyFill="1" applyBorder="1" applyAlignment="1" applyProtection="1">
      <alignment horizontal="center"/>
      <protection locked="0"/>
    </xf>
    <xf numFmtId="0" fontId="51" fillId="12" borderId="94" xfId="0" applyFont="1" applyFill="1" applyBorder="1" applyAlignment="1" applyProtection="1">
      <alignment horizontal="center"/>
      <protection locked="0"/>
    </xf>
    <xf numFmtId="0" fontId="51" fillId="12" borderId="100" xfId="0" applyFont="1" applyFill="1" applyBorder="1" applyAlignment="1" applyProtection="1">
      <alignment horizontal="center"/>
      <protection locked="0"/>
    </xf>
    <xf numFmtId="0" fontId="55" fillId="0" borderId="89" xfId="0" applyFont="1" applyBorder="1" applyProtection="1"/>
    <xf numFmtId="0" fontId="51" fillId="0" borderId="121" xfId="0" applyFont="1" applyBorder="1" applyProtection="1"/>
    <xf numFmtId="0" fontId="9" fillId="0" borderId="122" xfId="0" applyFont="1" applyBorder="1" applyProtection="1"/>
    <xf numFmtId="0" fontId="9" fillId="0" borderId="0" xfId="0" quotePrefix="1" applyFont="1"/>
    <xf numFmtId="0" fontId="51" fillId="12" borderId="133" xfId="0" applyNumberFormat="1" applyFont="1" applyFill="1" applyBorder="1" applyAlignment="1" applyProtection="1">
      <alignment horizontal="center"/>
      <protection locked="0"/>
    </xf>
    <xf numFmtId="0" fontId="51" fillId="12" borderId="134" xfId="0" applyNumberFormat="1" applyFont="1" applyFill="1" applyBorder="1" applyAlignment="1" applyProtection="1">
      <alignment horizontal="center"/>
      <protection locked="0"/>
    </xf>
    <xf numFmtId="181" fontId="51" fillId="12" borderId="94" xfId="0" applyNumberFormat="1" applyFont="1" applyFill="1" applyBorder="1" applyAlignment="1" applyProtection="1">
      <alignment horizontal="center"/>
      <protection locked="0"/>
    </xf>
    <xf numFmtId="3" fontId="51" fillId="12" borderId="99" xfId="0" applyNumberFormat="1" applyFont="1" applyFill="1" applyBorder="1" applyAlignment="1" applyProtection="1">
      <alignment horizontal="center"/>
      <protection locked="0"/>
    </xf>
    <xf numFmtId="3" fontId="51" fillId="11" borderId="135" xfId="0" applyNumberFormat="1" applyFont="1" applyFill="1" applyBorder="1" applyAlignment="1" applyProtection="1">
      <alignment horizontal="center"/>
      <protection locked="0"/>
    </xf>
    <xf numFmtId="3" fontId="51" fillId="11" borderId="136" xfId="0" applyNumberFormat="1" applyFont="1" applyFill="1" applyBorder="1" applyAlignment="1" applyProtection="1">
      <alignment horizontal="center"/>
      <protection locked="0"/>
    </xf>
    <xf numFmtId="181" fontId="51" fillId="12" borderId="134" xfId="0" applyNumberFormat="1" applyFont="1" applyFill="1" applyBorder="1" applyAlignment="1" applyProtection="1">
      <alignment horizontal="center"/>
      <protection locked="0"/>
    </xf>
    <xf numFmtId="181" fontId="51" fillId="11" borderId="136" xfId="0" applyNumberFormat="1" applyFont="1" applyFill="1" applyBorder="1" applyAlignment="1" applyProtection="1">
      <alignment horizontal="center"/>
      <protection locked="0"/>
    </xf>
    <xf numFmtId="3" fontId="51" fillId="12" borderId="137" xfId="0" applyNumberFormat="1" applyFont="1" applyFill="1" applyBorder="1" applyAlignment="1" applyProtection="1">
      <alignment horizontal="center"/>
      <protection locked="0"/>
    </xf>
    <xf numFmtId="0" fontId="43" fillId="0" borderId="0" xfId="0" applyFont="1" applyAlignment="1" applyProtection="1">
      <alignment vertical="top" wrapText="1"/>
    </xf>
    <xf numFmtId="0" fontId="0" fillId="0" borderId="0" xfId="0" applyBorder="1" applyAlignment="1" applyProtection="1"/>
    <xf numFmtId="169" fontId="0" fillId="0" borderId="18" xfId="0" applyNumberFormat="1" applyBorder="1" applyAlignment="1" applyProtection="1">
      <alignment horizontal="center" vertical="center"/>
    </xf>
    <xf numFmtId="169" fontId="0" fillId="0" borderId="18" xfId="0" applyNumberFormat="1" applyFill="1" applyBorder="1" applyAlignment="1" applyProtection="1">
      <alignment horizontal="center" vertical="center"/>
    </xf>
    <xf numFmtId="0" fontId="9" fillId="0" borderId="18" xfId="0" applyFont="1" applyFill="1" applyBorder="1" applyAlignment="1" applyProtection="1">
      <alignment horizontal="center" vertical="center"/>
    </xf>
    <xf numFmtId="2" fontId="9" fillId="2" borderId="6" xfId="0" applyNumberFormat="1" applyFont="1" applyFill="1" applyBorder="1" applyAlignment="1" applyProtection="1">
      <alignment vertical="top"/>
    </xf>
    <xf numFmtId="169" fontId="0" fillId="0" borderId="18" xfId="0" applyNumberFormat="1" applyFill="1" applyBorder="1" applyAlignment="1" applyProtection="1">
      <alignment horizontal="right" vertical="center"/>
    </xf>
    <xf numFmtId="169" fontId="9" fillId="2" borderId="6" xfId="0" applyNumberFormat="1" applyFont="1" applyFill="1" applyBorder="1" applyAlignment="1" applyProtection="1">
      <alignment horizontal="right" vertical="center"/>
    </xf>
    <xf numFmtId="0" fontId="0" fillId="0" borderId="18" xfId="0" applyFill="1" applyBorder="1" applyAlignment="1" applyProtection="1">
      <alignment horizontal="right" vertical="center"/>
    </xf>
    <xf numFmtId="169" fontId="9" fillId="2" borderId="6" xfId="0" applyNumberFormat="1" applyFont="1" applyFill="1" applyBorder="1" applyAlignment="1" applyProtection="1">
      <alignment vertical="center"/>
    </xf>
    <xf numFmtId="0" fontId="0" fillId="0" borderId="0" xfId="0" applyBorder="1" applyAlignment="1" applyProtection="1"/>
    <xf numFmtId="0" fontId="9" fillId="0" borderId="72" xfId="0" applyFont="1" applyBorder="1" applyAlignment="1" applyProtection="1">
      <alignment horizontal="right"/>
    </xf>
    <xf numFmtId="0" fontId="0" fillId="0" borderId="0" xfId="0" applyBorder="1" applyAlignment="1" applyProtection="1"/>
    <xf numFmtId="0" fontId="1" fillId="0" borderId="4" xfId="0" applyFont="1" applyFill="1" applyBorder="1" applyAlignment="1" applyProtection="1"/>
    <xf numFmtId="0" fontId="1" fillId="0" borderId="4" xfId="0" applyFont="1" applyBorder="1" applyAlignment="1" applyProtection="1">
      <alignment wrapText="1"/>
    </xf>
    <xf numFmtId="0" fontId="0" fillId="9" borderId="0" xfId="0" applyFill="1" applyBorder="1" applyProtection="1"/>
    <xf numFmtId="1" fontId="9" fillId="2" borderId="6" xfId="0" applyNumberFormat="1" applyFont="1" applyFill="1" applyBorder="1" applyAlignment="1" applyProtection="1">
      <alignment horizontal="right"/>
    </xf>
    <xf numFmtId="0" fontId="61" fillId="0" borderId="0" xfId="0" applyFont="1"/>
    <xf numFmtId="0" fontId="60" fillId="13" borderId="0" xfId="3"/>
    <xf numFmtId="0" fontId="9" fillId="0" borderId="4" xfId="0" applyFont="1" applyBorder="1"/>
    <xf numFmtId="0" fontId="9" fillId="0" borderId="0" xfId="0" applyFont="1" applyBorder="1"/>
    <xf numFmtId="0" fontId="1" fillId="0" borderId="4" xfId="0" applyFont="1" applyBorder="1"/>
    <xf numFmtId="0" fontId="0" fillId="0" borderId="0" xfId="0" applyBorder="1"/>
    <xf numFmtId="0" fontId="1" fillId="0" borderId="17" xfId="0" applyFont="1" applyBorder="1"/>
    <xf numFmtId="0" fontId="0" fillId="0" borderId="8" xfId="0" applyBorder="1"/>
    <xf numFmtId="0" fontId="0" fillId="0" borderId="7" xfId="0" applyBorder="1"/>
    <xf numFmtId="0" fontId="0" fillId="0" borderId="0" xfId="0" applyFill="1" applyBorder="1"/>
    <xf numFmtId="0" fontId="1" fillId="0" borderId="4" xfId="0" applyFont="1" applyFill="1" applyBorder="1"/>
    <xf numFmtId="0" fontId="1" fillId="0" borderId="17" xfId="0" applyFont="1" applyFill="1" applyBorder="1"/>
    <xf numFmtId="0" fontId="0" fillId="0" borderId="8" xfId="0" applyFill="1" applyBorder="1"/>
    <xf numFmtId="0" fontId="0" fillId="0" borderId="4" xfId="0" applyFill="1" applyBorder="1"/>
    <xf numFmtId="0" fontId="44" fillId="0" borderId="0" xfId="0" applyFont="1" applyBorder="1"/>
    <xf numFmtId="0" fontId="0" fillId="0" borderId="0" xfId="0" applyBorder="1" applyAlignment="1" applyProtection="1"/>
    <xf numFmtId="0" fontId="43" fillId="0" borderId="0" xfId="0" applyFont="1" applyAlignment="1">
      <alignment horizontal="center" wrapText="1"/>
    </xf>
    <xf numFmtId="0" fontId="1" fillId="0" borderId="0" xfId="0" applyFont="1" applyBorder="1"/>
    <xf numFmtId="0" fontId="1" fillId="0" borderId="8" xfId="0" applyFont="1" applyBorder="1"/>
    <xf numFmtId="0" fontId="1" fillId="0" borderId="0" xfId="0" applyFont="1" applyFill="1" applyBorder="1"/>
    <xf numFmtId="0" fontId="1" fillId="0" borderId="8" xfId="0" applyFont="1" applyFill="1" applyBorder="1"/>
    <xf numFmtId="0" fontId="1" fillId="0" borderId="0" xfId="0" quotePrefix="1" applyFont="1" applyBorder="1"/>
    <xf numFmtId="0" fontId="9" fillId="0" borderId="0" xfId="0" applyFont="1" applyFill="1" applyBorder="1"/>
    <xf numFmtId="0" fontId="0" fillId="0" borderId="17" xfId="0" applyBorder="1" applyProtection="1"/>
    <xf numFmtId="0" fontId="1" fillId="0" borderId="20" xfId="0" applyFont="1" applyBorder="1" applyAlignment="1" applyProtection="1">
      <alignment horizontal="left" vertical="center" wrapText="1"/>
    </xf>
    <xf numFmtId="0" fontId="44" fillId="0" borderId="5" xfId="0" applyFont="1" applyBorder="1"/>
    <xf numFmtId="0" fontId="9" fillId="0" borderId="8" xfId="0" applyFont="1" applyFill="1" applyBorder="1"/>
    <xf numFmtId="0" fontId="44" fillId="0" borderId="8" xfId="0" applyFont="1" applyBorder="1"/>
    <xf numFmtId="0" fontId="44" fillId="0" borderId="7" xfId="0" applyFont="1" applyBorder="1"/>
    <xf numFmtId="0" fontId="44" fillId="0" borderId="2" xfId="0" applyFont="1" applyBorder="1" applyAlignment="1">
      <alignment horizontal="center" vertical="center"/>
    </xf>
    <xf numFmtId="0" fontId="44" fillId="0" borderId="0" xfId="0" applyFont="1" applyAlignment="1">
      <alignment horizontal="center" vertical="center"/>
    </xf>
    <xf numFmtId="0" fontId="45" fillId="0" borderId="2" xfId="0" applyFont="1" applyBorder="1" applyAlignment="1">
      <alignment horizontal="center" vertical="center"/>
    </xf>
    <xf numFmtId="0" fontId="45" fillId="0" borderId="8" xfId="0" applyFont="1" applyBorder="1" applyAlignment="1">
      <alignment horizontal="center" vertical="center"/>
    </xf>
    <xf numFmtId="0" fontId="0" fillId="0" borderId="2" xfId="0" applyBorder="1" applyAlignment="1">
      <alignment horizontal="center" vertical="center"/>
    </xf>
    <xf numFmtId="0" fontId="0" fillId="0" borderId="8" xfId="0" applyBorder="1" applyAlignment="1">
      <alignment horizontal="center" vertical="center"/>
    </xf>
    <xf numFmtId="0" fontId="46" fillId="0" borderId="2" xfId="0" applyFont="1" applyBorder="1" applyAlignment="1">
      <alignment horizontal="center" vertical="center"/>
    </xf>
    <xf numFmtId="0" fontId="46" fillId="0" borderId="0" xfId="0" applyFont="1" applyBorder="1" applyAlignment="1">
      <alignment horizontal="center" vertical="center"/>
    </xf>
    <xf numFmtId="0" fontId="46" fillId="0" borderId="8" xfId="0" applyFont="1" applyBorder="1" applyAlignment="1">
      <alignment horizontal="center" vertical="center"/>
    </xf>
    <xf numFmtId="0" fontId="43" fillId="0" borderId="0" xfId="0" applyFont="1" applyAlignment="1" applyProtection="1"/>
    <xf numFmtId="49" fontId="5" fillId="0" borderId="0" xfId="0" applyNumberFormat="1" applyFont="1" applyBorder="1" applyProtection="1"/>
    <xf numFmtId="1" fontId="0" fillId="0" borderId="0" xfId="0" applyNumberFormat="1"/>
    <xf numFmtId="0" fontId="9" fillId="0" borderId="0" xfId="0" applyFont="1" applyAlignment="1">
      <alignment wrapText="1"/>
    </xf>
    <xf numFmtId="0" fontId="43" fillId="0" borderId="0" xfId="0" applyFont="1" applyAlignment="1">
      <alignment wrapText="1"/>
    </xf>
    <xf numFmtId="0" fontId="57" fillId="0" borderId="0" xfId="0" applyFont="1" applyAlignment="1"/>
    <xf numFmtId="0" fontId="57" fillId="15" borderId="0" xfId="0" applyFont="1" applyFill="1" applyAlignment="1">
      <alignment horizontal="center"/>
    </xf>
    <xf numFmtId="1" fontId="9" fillId="5" borderId="26" xfId="0" applyNumberFormat="1" applyFont="1" applyFill="1" applyBorder="1" applyAlignment="1" applyProtection="1">
      <alignment horizontal="right" vertical="center"/>
      <protection locked="0"/>
    </xf>
    <xf numFmtId="0" fontId="17" fillId="0" borderId="139" xfId="1" applyFont="1" applyBorder="1" applyAlignment="1">
      <alignment horizontal="center"/>
    </xf>
    <xf numFmtId="0" fontId="17" fillId="0" borderId="0" xfId="1" applyFont="1" applyBorder="1" applyAlignment="1">
      <alignment horizontal="center"/>
    </xf>
    <xf numFmtId="0" fontId="67" fillId="0" borderId="0" xfId="1" applyFont="1" applyBorder="1" applyAlignment="1">
      <alignment wrapText="1"/>
    </xf>
    <xf numFmtId="0" fontId="67" fillId="0" borderId="0" xfId="1" applyFont="1" applyBorder="1"/>
    <xf numFmtId="0" fontId="67" fillId="0" borderId="0" xfId="1" quotePrefix="1" applyFont="1" applyBorder="1" applyAlignment="1">
      <alignment vertical="top" wrapText="1"/>
    </xf>
    <xf numFmtId="0" fontId="66" fillId="0" borderId="125" xfId="1" quotePrefix="1" applyFont="1" applyBorder="1" applyAlignment="1">
      <alignment horizontal="left" vertical="center" wrapText="1"/>
    </xf>
    <xf numFmtId="0" fontId="67" fillId="0" borderId="0" xfId="1" applyFont="1" applyBorder="1" applyAlignment="1">
      <alignment vertical="center"/>
    </xf>
    <xf numFmtId="0" fontId="67" fillId="0" borderId="0" xfId="1" quotePrefix="1" applyFont="1" applyBorder="1" applyAlignment="1">
      <alignment vertical="top"/>
    </xf>
    <xf numFmtId="0" fontId="67" fillId="0" borderId="0" xfId="1" applyFont="1" applyBorder="1" applyAlignment="1">
      <alignment vertical="top"/>
    </xf>
    <xf numFmtId="0" fontId="67" fillId="0" borderId="0" xfId="1" applyFont="1" applyAlignment="1">
      <alignment vertical="center"/>
    </xf>
    <xf numFmtId="0" fontId="67" fillId="0" borderId="0" xfId="1" applyFont="1" applyAlignment="1"/>
    <xf numFmtId="0" fontId="52" fillId="0" borderId="0" xfId="0" applyFont="1" applyBorder="1" applyAlignment="1" applyProtection="1">
      <alignment horizontal="left"/>
      <protection locked="0"/>
    </xf>
    <xf numFmtId="0" fontId="51" fillId="0" borderId="5" xfId="2" applyFont="1" applyBorder="1" applyProtection="1"/>
    <xf numFmtId="0" fontId="41" fillId="0" borderId="140" xfId="2" applyFont="1" applyBorder="1" applyProtection="1"/>
    <xf numFmtId="0" fontId="41" fillId="0" borderId="140" xfId="0" applyFont="1" applyBorder="1" applyProtection="1"/>
    <xf numFmtId="186" fontId="41" fillId="0" borderId="141" xfId="0" applyNumberFormat="1" applyFont="1" applyFill="1" applyBorder="1" applyAlignment="1" applyProtection="1">
      <alignment horizontal="center"/>
    </xf>
    <xf numFmtId="0" fontId="51" fillId="0" borderId="100" xfId="0" applyNumberFormat="1" applyFont="1" applyBorder="1" applyAlignment="1" applyProtection="1">
      <alignment horizontal="center"/>
    </xf>
    <xf numFmtId="186" fontId="41" fillId="0" borderId="100" xfId="0" applyNumberFormat="1" applyFont="1" applyFill="1" applyBorder="1" applyAlignment="1" applyProtection="1">
      <alignment horizontal="center"/>
    </xf>
    <xf numFmtId="49" fontId="51" fillId="0" borderId="100" xfId="0" applyNumberFormat="1" applyFont="1" applyBorder="1" applyAlignment="1" applyProtection="1">
      <alignment horizontal="center"/>
    </xf>
    <xf numFmtId="180" fontId="51" fillId="12" borderId="100" xfId="0" applyNumberFormat="1" applyFont="1" applyFill="1" applyBorder="1" applyAlignment="1" applyProtection="1">
      <alignment horizontal="center"/>
      <protection locked="0"/>
    </xf>
    <xf numFmtId="181" fontId="51" fillId="0" borderId="100" xfId="0" quotePrefix="1" applyNumberFormat="1" applyFont="1" applyFill="1" applyBorder="1" applyAlignment="1" applyProtection="1">
      <alignment horizontal="center"/>
    </xf>
    <xf numFmtId="0" fontId="51" fillId="0" borderId="140" xfId="2" applyFont="1" applyBorder="1" applyProtection="1"/>
    <xf numFmtId="49" fontId="51" fillId="12" borderId="100" xfId="0" applyNumberFormat="1" applyFont="1" applyFill="1" applyBorder="1" applyAlignment="1" applyProtection="1">
      <alignment horizontal="center"/>
      <protection locked="0"/>
    </xf>
    <xf numFmtId="0" fontId="48" fillId="0" borderId="0" xfId="2" applyBorder="1"/>
    <xf numFmtId="0" fontId="9" fillId="0" borderId="0" xfId="2" applyFont="1" applyBorder="1" applyProtection="1"/>
    <xf numFmtId="0" fontId="59" fillId="0" borderId="0" xfId="0" applyFont="1" applyBorder="1" applyAlignment="1" applyProtection="1">
      <alignment horizontal="right" vertical="center"/>
      <protection locked="0"/>
    </xf>
    <xf numFmtId="0" fontId="67" fillId="0" borderId="144" xfId="1" quotePrefix="1" applyFont="1" applyBorder="1" applyAlignment="1">
      <alignment vertical="top" wrapText="1"/>
    </xf>
    <xf numFmtId="0" fontId="67" fillId="0" borderId="8" xfId="1" quotePrefix="1" applyFont="1" applyBorder="1" applyAlignment="1">
      <alignment vertical="top" wrapText="1"/>
    </xf>
    <xf numFmtId="0" fontId="67" fillId="0" borderId="8" xfId="1" quotePrefix="1" applyFont="1" applyFill="1" applyBorder="1" applyAlignment="1">
      <alignment vertical="top" wrapText="1"/>
    </xf>
    <xf numFmtId="0" fontId="67" fillId="0" borderId="0" xfId="1" applyFont="1" applyFill="1" applyBorder="1" applyAlignment="1">
      <alignment vertical="top" wrapText="1"/>
    </xf>
    <xf numFmtId="0" fontId="67" fillId="0" borderId="8" xfId="1" applyFont="1" applyFill="1" applyBorder="1" applyAlignment="1">
      <alignment vertical="top" wrapText="1"/>
    </xf>
    <xf numFmtId="0" fontId="1" fillId="0" borderId="125" xfId="1" applyFont="1" applyBorder="1" applyAlignment="1">
      <alignment horizontal="center" vertical="center"/>
    </xf>
    <xf numFmtId="0" fontId="67" fillId="0" borderId="125" xfId="1" quotePrefix="1" applyFont="1" applyBorder="1" applyAlignment="1">
      <alignment vertical="top" wrapText="1"/>
    </xf>
    <xf numFmtId="0" fontId="67" fillId="0" borderId="0" xfId="1" applyFont="1" applyBorder="1" applyAlignment="1">
      <alignment vertical="top" wrapText="1"/>
    </xf>
    <xf numFmtId="0" fontId="67" fillId="0" borderId="2" xfId="1" quotePrefix="1" applyFont="1" applyBorder="1" applyAlignment="1">
      <alignment vertical="top" wrapText="1"/>
    </xf>
    <xf numFmtId="0" fontId="9" fillId="0" borderId="0" xfId="1" applyFont="1"/>
    <xf numFmtId="0" fontId="1" fillId="0" borderId="2" xfId="1" applyFont="1" applyBorder="1" applyAlignment="1">
      <alignment horizontal="center" vertical="center"/>
    </xf>
    <xf numFmtId="0" fontId="1" fillId="0" borderId="8" xfId="1" applyFont="1" applyBorder="1" applyAlignment="1">
      <alignment horizontal="center" vertical="center"/>
    </xf>
    <xf numFmtId="0" fontId="66" fillId="0" borderId="2" xfId="1" quotePrefix="1" applyFont="1" applyBorder="1" applyAlignment="1">
      <alignment horizontal="left" vertical="center" wrapText="1"/>
    </xf>
    <xf numFmtId="0" fontId="66" fillId="0" borderId="8" xfId="1" quotePrefix="1" applyFont="1" applyBorder="1" applyAlignment="1">
      <alignment horizontal="left" vertical="center" wrapText="1"/>
    </xf>
    <xf numFmtId="1" fontId="0" fillId="0" borderId="5" xfId="0" applyNumberFormat="1" applyBorder="1"/>
    <xf numFmtId="1" fontId="0" fillId="0" borderId="7" xfId="0" applyNumberFormat="1" applyBorder="1"/>
    <xf numFmtId="0" fontId="67" fillId="0" borderId="0" xfId="1" quotePrefix="1" applyFont="1" applyBorder="1" applyAlignment="1">
      <alignment horizontal="left" vertical="top" wrapText="1" indent="3"/>
    </xf>
    <xf numFmtId="0" fontId="67" fillId="0" borderId="8" xfId="1" quotePrefix="1" applyFont="1" applyBorder="1" applyAlignment="1">
      <alignment horizontal="left" vertical="top" wrapText="1" indent="3"/>
    </xf>
    <xf numFmtId="0" fontId="67" fillId="0" borderId="2" xfId="1" quotePrefix="1" applyFont="1" applyBorder="1" applyAlignment="1">
      <alignment wrapText="1"/>
    </xf>
    <xf numFmtId="0" fontId="71" fillId="0" borderId="0" xfId="1" applyFont="1"/>
    <xf numFmtId="0" fontId="72" fillId="0" borderId="0" xfId="1" applyFont="1"/>
    <xf numFmtId="0" fontId="72" fillId="0" borderId="0" xfId="1" applyFont="1" applyAlignment="1">
      <alignment horizontal="left" indent="2"/>
    </xf>
    <xf numFmtId="164" fontId="71" fillId="0" borderId="0" xfId="1" applyNumberFormat="1" applyFont="1"/>
    <xf numFmtId="0" fontId="9" fillId="0" borderId="0" xfId="1" applyFont="1" applyBorder="1"/>
    <xf numFmtId="0" fontId="71" fillId="0" borderId="0" xfId="1" applyFont="1" applyBorder="1"/>
    <xf numFmtId="0" fontId="72" fillId="0" borderId="0" xfId="1" applyFont="1" applyBorder="1"/>
    <xf numFmtId="0" fontId="73" fillId="0" borderId="0" xfId="1" applyFont="1" applyBorder="1"/>
    <xf numFmtId="0" fontId="73" fillId="0" borderId="0" xfId="1" applyFont="1"/>
    <xf numFmtId="0" fontId="74" fillId="0" borderId="0" xfId="1" applyFont="1"/>
    <xf numFmtId="0" fontId="73" fillId="0" borderId="0" xfId="1" applyFont="1" applyAlignment="1">
      <alignment wrapText="1"/>
    </xf>
    <xf numFmtId="0" fontId="75" fillId="0" borderId="0" xfId="1" applyFont="1"/>
    <xf numFmtId="0" fontId="76" fillId="0" borderId="0" xfId="3" applyFont="1" applyFill="1"/>
    <xf numFmtId="0" fontId="77" fillId="0" borderId="0" xfId="1" applyFont="1"/>
    <xf numFmtId="0" fontId="78" fillId="0" borderId="0" xfId="1" applyFont="1"/>
    <xf numFmtId="0" fontId="77" fillId="0" borderId="0" xfId="1" quotePrefix="1" applyFont="1" applyAlignment="1">
      <alignment horizontal="left" indent="1"/>
    </xf>
    <xf numFmtId="0" fontId="73" fillId="0" borderId="0" xfId="1" applyFont="1" applyAlignment="1">
      <alignment horizontal="left" indent="4"/>
    </xf>
    <xf numFmtId="0" fontId="72" fillId="0" borderId="0" xfId="1" applyFont="1" applyAlignment="1">
      <alignment horizontal="left" indent="4"/>
    </xf>
    <xf numFmtId="2" fontId="71" fillId="0" borderId="0" xfId="1" applyNumberFormat="1" applyFont="1"/>
    <xf numFmtId="0" fontId="79" fillId="16" borderId="0" xfId="1" applyFont="1" applyFill="1"/>
    <xf numFmtId="0" fontId="9" fillId="16" borderId="0" xfId="1" applyFont="1" applyFill="1"/>
    <xf numFmtId="0" fontId="9" fillId="0" borderId="0" xfId="1" applyFont="1" applyAlignment="1">
      <alignment horizontal="right"/>
    </xf>
    <xf numFmtId="0" fontId="1" fillId="5" borderId="6" xfId="1" applyFont="1" applyFill="1" applyBorder="1" applyProtection="1">
      <protection locked="0"/>
    </xf>
    <xf numFmtId="0" fontId="9" fillId="5" borderId="6" xfId="1" applyFont="1" applyFill="1" applyBorder="1" applyProtection="1">
      <protection locked="0"/>
    </xf>
    <xf numFmtId="0" fontId="80" fillId="0" borderId="0" xfId="1" applyFont="1"/>
    <xf numFmtId="0" fontId="9" fillId="4" borderId="6" xfId="1" applyFont="1" applyFill="1" applyBorder="1"/>
    <xf numFmtId="1" fontId="9" fillId="4" borderId="6" xfId="1" applyNumberFormat="1" applyFont="1" applyFill="1" applyBorder="1"/>
    <xf numFmtId="188" fontId="9" fillId="4" borderId="6" xfId="4" applyNumberFormat="1" applyFont="1" applyFill="1" applyBorder="1"/>
    <xf numFmtId="0" fontId="4" fillId="0" borderId="0" xfId="1" applyFont="1"/>
    <xf numFmtId="0" fontId="4" fillId="5" borderId="6" xfId="1" applyFont="1" applyFill="1" applyBorder="1" applyAlignment="1" applyProtection="1">
      <alignment horizontal="center"/>
      <protection locked="0"/>
    </xf>
    <xf numFmtId="0" fontId="81" fillId="0" borderId="0" xfId="1" applyFont="1"/>
    <xf numFmtId="0" fontId="1" fillId="17" borderId="6" xfId="1" applyFont="1" applyFill="1" applyBorder="1" applyAlignment="1">
      <alignment horizontal="center"/>
    </xf>
    <xf numFmtId="0" fontId="82" fillId="0" borderId="0" xfId="1" applyFont="1"/>
    <xf numFmtId="1" fontId="1" fillId="4" borderId="6" xfId="1" applyNumberFormat="1" applyFont="1" applyFill="1" applyBorder="1" applyAlignment="1">
      <alignment horizontal="right"/>
    </xf>
    <xf numFmtId="0" fontId="1" fillId="4" borderId="6" xfId="1" applyFont="1" applyFill="1" applyBorder="1"/>
    <xf numFmtId="0" fontId="83" fillId="6" borderId="145" xfId="1" applyFont="1" applyFill="1" applyBorder="1" applyAlignment="1">
      <alignment vertical="center"/>
    </xf>
    <xf numFmtId="0" fontId="84" fillId="6" borderId="146" xfId="1" applyFont="1" applyFill="1" applyBorder="1" applyAlignment="1">
      <alignment vertical="center"/>
    </xf>
    <xf numFmtId="164" fontId="85" fillId="18" borderId="147" xfId="1" applyNumberFormat="1" applyFont="1" applyFill="1" applyBorder="1" applyAlignment="1">
      <alignment horizontal="center" vertical="center"/>
    </xf>
    <xf numFmtId="0" fontId="83" fillId="6" borderId="148" xfId="1" applyFont="1" applyFill="1" applyBorder="1" applyAlignment="1">
      <alignment vertical="center"/>
    </xf>
    <xf numFmtId="0" fontId="1" fillId="0" borderId="0" xfId="5" applyFont="1"/>
    <xf numFmtId="0" fontId="1" fillId="19" borderId="0" xfId="5" applyFont="1" applyFill="1"/>
    <xf numFmtId="0" fontId="1" fillId="7" borderId="19" xfId="5" applyFont="1" applyFill="1" applyBorder="1"/>
    <xf numFmtId="0" fontId="1" fillId="7" borderId="2" xfId="5" applyFont="1" applyFill="1" applyBorder="1"/>
    <xf numFmtId="0" fontId="1" fillId="7" borderId="2" xfId="5" applyFont="1" applyFill="1" applyBorder="1" applyAlignment="1">
      <alignment horizontal="center"/>
    </xf>
    <xf numFmtId="0" fontId="1" fillId="7" borderId="3" xfId="5" applyFont="1" applyFill="1" applyBorder="1"/>
    <xf numFmtId="0" fontId="1" fillId="7" borderId="25" xfId="5" applyFont="1" applyFill="1" applyBorder="1" applyAlignment="1">
      <alignment horizontal="center"/>
    </xf>
    <xf numFmtId="0" fontId="1" fillId="0" borderId="0" xfId="5" applyFont="1" applyAlignment="1">
      <alignment horizontal="center"/>
    </xf>
    <xf numFmtId="0" fontId="1" fillId="7" borderId="17" xfId="5" applyFont="1" applyFill="1" applyBorder="1"/>
    <xf numFmtId="0" fontId="1" fillId="7" borderId="8" xfId="5" applyFont="1" applyFill="1" applyBorder="1"/>
    <xf numFmtId="0" fontId="1" fillId="7" borderId="7" xfId="5" applyFont="1" applyFill="1" applyBorder="1"/>
    <xf numFmtId="0" fontId="1" fillId="7" borderId="26" xfId="5" applyFont="1" applyFill="1" applyBorder="1"/>
    <xf numFmtId="0" fontId="1" fillId="19" borderId="0" xfId="5" applyFont="1" applyFill="1" applyAlignment="1">
      <alignment horizontal="center"/>
    </xf>
    <xf numFmtId="0" fontId="23" fillId="7" borderId="6" xfId="5" applyFont="1" applyFill="1" applyBorder="1" applyAlignment="1">
      <alignment horizontal="center"/>
    </xf>
    <xf numFmtId="0" fontId="1" fillId="7" borderId="20" xfId="5" applyFont="1" applyFill="1" applyBorder="1" applyAlignment="1">
      <alignment horizontal="center"/>
    </xf>
    <xf numFmtId="0" fontId="1" fillId="19" borderId="6" xfId="5" applyFont="1" applyFill="1" applyBorder="1" applyAlignment="1">
      <alignment horizontal="center"/>
    </xf>
    <xf numFmtId="1" fontId="1" fillId="4" borderId="6" xfId="5" applyNumberFormat="1" applyFont="1" applyFill="1" applyBorder="1" applyAlignment="1">
      <alignment horizontal="center"/>
    </xf>
    <xf numFmtId="11" fontId="1" fillId="0" borderId="0" xfId="5" applyNumberFormat="1" applyFont="1"/>
    <xf numFmtId="1" fontId="1" fillId="5" borderId="6" xfId="5" applyNumberFormat="1" applyFont="1" applyFill="1" applyBorder="1" applyAlignment="1" applyProtection="1">
      <alignment horizontal="center"/>
      <protection locked="0"/>
    </xf>
    <xf numFmtId="0" fontId="16" fillId="0" borderId="0" xfId="5" applyFont="1"/>
    <xf numFmtId="1" fontId="1" fillId="18" borderId="147" xfId="5" applyNumberFormat="1" applyFont="1" applyFill="1" applyBorder="1" applyAlignment="1">
      <alignment horizontal="center"/>
    </xf>
    <xf numFmtId="1" fontId="1" fillId="0" borderId="6" xfId="5" applyNumberFormat="1" applyFont="1" applyBorder="1" applyAlignment="1">
      <alignment horizontal="center"/>
    </xf>
    <xf numFmtId="164" fontId="1" fillId="4" borderId="6" xfId="5" applyNumberFormat="1" applyFont="1" applyFill="1" applyBorder="1" applyAlignment="1">
      <alignment horizontal="center"/>
    </xf>
    <xf numFmtId="0" fontId="16" fillId="0" borderId="0" xfId="1" applyFont="1" applyAlignment="1">
      <alignment horizontal="left"/>
    </xf>
    <xf numFmtId="0" fontId="67" fillId="7" borderId="6" xfId="5" applyFont="1" applyFill="1" applyBorder="1" applyAlignment="1">
      <alignment horizontal="center" textRotation="90"/>
    </xf>
    <xf numFmtId="1" fontId="67" fillId="4" borderId="6" xfId="5" applyNumberFormat="1" applyFont="1" applyFill="1" applyBorder="1" applyAlignment="1">
      <alignment horizontal="center" textRotation="90"/>
    </xf>
    <xf numFmtId="1" fontId="67" fillId="18" borderId="6" xfId="5" applyNumberFormat="1" applyFont="1" applyFill="1" applyBorder="1" applyAlignment="1">
      <alignment horizontal="center" textRotation="90"/>
    </xf>
    <xf numFmtId="1" fontId="67" fillId="19" borderId="6" xfId="5" applyNumberFormat="1" applyFont="1" applyFill="1" applyBorder="1" applyAlignment="1">
      <alignment horizontal="center" textRotation="90"/>
    </xf>
    <xf numFmtId="0" fontId="9" fillId="0" borderId="0" xfId="1"/>
    <xf numFmtId="0" fontId="89" fillId="0" borderId="0" xfId="1" applyFont="1"/>
    <xf numFmtId="0" fontId="89" fillId="0" borderId="6" xfId="1" applyFont="1" applyBorder="1"/>
    <xf numFmtId="0" fontId="1" fillId="0" borderId="6" xfId="1" applyFont="1" applyBorder="1"/>
    <xf numFmtId="0" fontId="90" fillId="0" borderId="25" xfId="1" applyFont="1" applyBorder="1" applyAlignment="1">
      <alignment horizontal="center" wrapText="1"/>
    </xf>
    <xf numFmtId="0" fontId="90" fillId="0" borderId="25" xfId="1" applyFont="1" applyBorder="1" applyAlignment="1">
      <alignment horizontal="center" vertical="top" wrapText="1"/>
    </xf>
    <xf numFmtId="0" fontId="90" fillId="0" borderId="3" xfId="1" applyFont="1" applyBorder="1" applyAlignment="1">
      <alignment horizontal="center" wrapText="1"/>
    </xf>
    <xf numFmtId="0" fontId="90" fillId="0" borderId="77" xfId="1" applyFont="1" applyBorder="1" applyAlignment="1">
      <alignment horizontal="center" wrapText="1"/>
    </xf>
    <xf numFmtId="0" fontId="90" fillId="0" borderId="77" xfId="1" applyFont="1" applyBorder="1" applyAlignment="1">
      <alignment horizontal="center" vertical="top" wrapText="1"/>
    </xf>
    <xf numFmtId="0" fontId="90" fillId="0" borderId="5" xfId="1" applyFont="1" applyBorder="1" applyAlignment="1">
      <alignment horizontal="center" wrapText="1"/>
    </xf>
    <xf numFmtId="0" fontId="9" fillId="0" borderId="77" xfId="1" applyBorder="1" applyAlignment="1">
      <alignment wrapText="1"/>
    </xf>
    <xf numFmtId="0" fontId="90" fillId="0" borderId="6" xfId="1" applyFont="1" applyBorder="1" applyAlignment="1">
      <alignment horizontal="center" wrapText="1"/>
    </xf>
    <xf numFmtId="0" fontId="9" fillId="5" borderId="6" xfId="1" applyFill="1" applyBorder="1"/>
    <xf numFmtId="0" fontId="9" fillId="5" borderId="0" xfId="1" applyFill="1" applyBorder="1"/>
    <xf numFmtId="0" fontId="1" fillId="0" borderId="0" xfId="1" applyFont="1" applyFill="1" applyBorder="1"/>
    <xf numFmtId="0" fontId="1" fillId="0" borderId="6" xfId="1" applyFont="1" applyFill="1" applyBorder="1"/>
    <xf numFmtId="0" fontId="91" fillId="0" borderId="6" xfId="1" applyFont="1" applyBorder="1"/>
    <xf numFmtId="0" fontId="9" fillId="0" borderId="6" xfId="1" applyBorder="1"/>
    <xf numFmtId="0" fontId="90" fillId="0" borderId="126" xfId="1" applyFont="1" applyBorder="1" applyAlignment="1">
      <alignment horizontal="center" wrapText="1"/>
    </xf>
    <xf numFmtId="0" fontId="90" fillId="0" borderId="26" xfId="1" applyFont="1" applyBorder="1" applyAlignment="1">
      <alignment horizontal="center" wrapText="1"/>
    </xf>
    <xf numFmtId="0" fontId="90" fillId="0" borderId="7" xfId="1" applyFont="1" applyBorder="1" applyAlignment="1">
      <alignment horizontal="center" wrapText="1"/>
    </xf>
    <xf numFmtId="0" fontId="90" fillId="0" borderId="0" xfId="1" applyFont="1" applyBorder="1" applyAlignment="1">
      <alignment horizontal="center" wrapText="1"/>
    </xf>
    <xf numFmtId="49" fontId="1" fillId="5" borderId="6" xfId="1" applyNumberFormat="1" applyFont="1" applyFill="1" applyBorder="1" applyAlignment="1" applyProtection="1">
      <alignment horizontal="center" wrapText="1"/>
      <protection locked="0"/>
    </xf>
    <xf numFmtId="49" fontId="9" fillId="0" borderId="0" xfId="1" applyNumberFormat="1" applyFont="1" applyAlignment="1">
      <alignment wrapText="1"/>
    </xf>
    <xf numFmtId="0" fontId="52" fillId="0" borderId="147" xfId="1" applyFont="1" applyBorder="1" applyAlignment="1">
      <alignment horizontal="center"/>
    </xf>
    <xf numFmtId="0" fontId="9" fillId="0" borderId="0" xfId="1" applyAlignment="1">
      <alignment horizontal="center"/>
    </xf>
    <xf numFmtId="0" fontId="9" fillId="0" borderId="149" xfId="1" applyBorder="1" applyAlignment="1">
      <alignment horizontal="center"/>
    </xf>
    <xf numFmtId="0" fontId="9" fillId="0" borderId="144" xfId="1" applyBorder="1" applyAlignment="1">
      <alignment horizontal="center"/>
    </xf>
    <xf numFmtId="0" fontId="9" fillId="0" borderId="150" xfId="1" applyBorder="1" applyAlignment="1">
      <alignment horizontal="center"/>
    </xf>
    <xf numFmtId="0" fontId="9" fillId="0" borderId="151" xfId="1" applyBorder="1" applyAlignment="1">
      <alignment horizontal="center"/>
    </xf>
    <xf numFmtId="0" fontId="9" fillId="0" borderId="0" xfId="1" applyBorder="1" applyAlignment="1">
      <alignment horizontal="center"/>
    </xf>
    <xf numFmtId="0" fontId="9" fillId="0" borderId="152" xfId="1" applyBorder="1" applyAlignment="1">
      <alignment horizontal="center"/>
    </xf>
    <xf numFmtId="0" fontId="9" fillId="0" borderId="153" xfId="1" applyBorder="1" applyAlignment="1">
      <alignment horizontal="center"/>
    </xf>
    <xf numFmtId="0" fontId="9" fillId="0" borderId="139" xfId="1" applyBorder="1" applyAlignment="1">
      <alignment horizontal="center"/>
    </xf>
    <xf numFmtId="0" fontId="9" fillId="0" borderId="154" xfId="1" applyBorder="1" applyAlignment="1">
      <alignment horizontal="center"/>
    </xf>
    <xf numFmtId="49" fontId="9" fillId="0" borderId="6" xfId="1" applyNumberFormat="1" applyBorder="1"/>
    <xf numFmtId="1" fontId="9" fillId="5" borderId="6" xfId="1" applyNumberFormat="1" applyFont="1" applyFill="1" applyBorder="1" applyProtection="1">
      <protection locked="0"/>
    </xf>
    <xf numFmtId="0" fontId="1" fillId="0" borderId="4" xfId="0" applyFont="1" applyBorder="1" applyAlignment="1" applyProtection="1"/>
    <xf numFmtId="0" fontId="9" fillId="0" borderId="0" xfId="0" applyFont="1" applyFill="1" applyBorder="1" applyAlignment="1" applyProtection="1"/>
    <xf numFmtId="164" fontId="9" fillId="2" borderId="6" xfId="0" applyNumberFormat="1" applyFont="1" applyFill="1" applyBorder="1" applyAlignment="1" applyProtection="1">
      <alignment horizontal="right"/>
    </xf>
    <xf numFmtId="1" fontId="9" fillId="5" borderId="6" xfId="0" applyNumberFormat="1" applyFont="1" applyFill="1" applyBorder="1" applyAlignment="1" applyProtection="1">
      <alignment horizontal="center" vertical="center"/>
      <protection locked="0"/>
    </xf>
    <xf numFmtId="0" fontId="1" fillId="0" borderId="0" xfId="0" applyFont="1" applyAlignment="1">
      <alignment horizontal="center"/>
    </xf>
    <xf numFmtId="0" fontId="1" fillId="0" borderId="4" xfId="0" applyFont="1" applyBorder="1" applyAlignment="1" applyProtection="1">
      <alignment vertical="center"/>
    </xf>
    <xf numFmtId="16" fontId="1" fillId="0" borderId="0" xfId="0" applyNumberFormat="1" applyFont="1" applyBorder="1" applyProtection="1"/>
    <xf numFmtId="0" fontId="1" fillId="0" borderId="0" xfId="0" applyFont="1" applyProtection="1"/>
    <xf numFmtId="0" fontId="0" fillId="0" borderId="4" xfId="0" applyBorder="1"/>
    <xf numFmtId="0" fontId="0" fillId="0" borderId="151" xfId="0" applyBorder="1"/>
    <xf numFmtId="0" fontId="9" fillId="0" borderId="152" xfId="0" applyFont="1" applyBorder="1"/>
    <xf numFmtId="0" fontId="0" fillId="0" borderId="152" xfId="0" applyBorder="1"/>
    <xf numFmtId="0" fontId="1" fillId="0" borderId="0" xfId="0" applyFont="1" applyAlignment="1" applyProtection="1">
      <alignment horizontal="center"/>
    </xf>
    <xf numFmtId="0" fontId="9" fillId="5" borderId="1" xfId="0" applyFont="1" applyFill="1" applyBorder="1" applyAlignment="1" applyProtection="1">
      <alignment horizontal="center" vertical="center"/>
      <protection locked="0"/>
    </xf>
    <xf numFmtId="0" fontId="9" fillId="4" borderId="77" xfId="0" applyFont="1" applyFill="1" applyBorder="1" applyAlignment="1" applyProtection="1">
      <alignment horizontal="center"/>
      <protection locked="0"/>
    </xf>
    <xf numFmtId="0" fontId="0" fillId="0" borderId="0" xfId="0" applyAlignment="1">
      <alignment wrapText="1"/>
    </xf>
    <xf numFmtId="0" fontId="0" fillId="15" borderId="0" xfId="0" applyFill="1"/>
    <xf numFmtId="0" fontId="0" fillId="15" borderId="0" xfId="0" quotePrefix="1" applyFill="1" applyAlignment="1">
      <alignment wrapText="1"/>
    </xf>
    <xf numFmtId="0" fontId="0" fillId="20" borderId="0" xfId="0" quotePrefix="1" applyFill="1" applyAlignment="1">
      <alignment wrapText="1"/>
    </xf>
    <xf numFmtId="0" fontId="1" fillId="0" borderId="157" xfId="0" applyFont="1" applyBorder="1" applyAlignment="1" applyProtection="1">
      <alignment horizontal="left" wrapText="1"/>
    </xf>
    <xf numFmtId="0" fontId="1" fillId="0" borderId="0" xfId="0" applyFont="1" applyAlignment="1" applyProtection="1">
      <alignment horizontal="left" wrapText="1"/>
    </xf>
    <xf numFmtId="0" fontId="1" fillId="0" borderId="31" xfId="0" applyFont="1" applyBorder="1" applyAlignment="1" applyProtection="1">
      <alignment horizontal="left" wrapText="1"/>
    </xf>
    <xf numFmtId="0" fontId="12" fillId="0" borderId="8" xfId="0" applyFont="1" applyFill="1" applyBorder="1" applyAlignment="1" applyProtection="1">
      <alignment horizontal="right" vertical="center" wrapText="1"/>
    </xf>
    <xf numFmtId="0" fontId="12" fillId="0" borderId="7" xfId="0" applyFont="1" applyFill="1" applyBorder="1" applyAlignment="1" applyProtection="1">
      <alignment horizontal="right" vertical="center"/>
    </xf>
    <xf numFmtId="0" fontId="12" fillId="0" borderId="28" xfId="0" applyFont="1" applyBorder="1" applyAlignment="1" applyProtection="1">
      <alignment horizontal="center" vertical="center"/>
    </xf>
    <xf numFmtId="0" fontId="8" fillId="0" borderId="21" xfId="0" applyFont="1" applyBorder="1" applyAlignment="1" applyProtection="1">
      <alignment horizontal="center" vertical="center"/>
    </xf>
    <xf numFmtId="0" fontId="8" fillId="0" borderId="29" xfId="0" applyFont="1" applyBorder="1" applyAlignment="1" applyProtection="1">
      <alignment horizontal="center" vertical="center"/>
    </xf>
    <xf numFmtId="1" fontId="38" fillId="2" borderId="45" xfId="0" applyNumberFormat="1" applyFont="1" applyFill="1" applyBorder="1" applyAlignment="1" applyProtection="1">
      <alignment horizontal="center" vertical="center"/>
    </xf>
    <xf numFmtId="1" fontId="38" fillId="2" borderId="46" xfId="0" applyNumberFormat="1" applyFont="1" applyFill="1" applyBorder="1" applyAlignment="1" applyProtection="1">
      <alignment horizontal="center" vertical="center"/>
    </xf>
    <xf numFmtId="1" fontId="38" fillId="2" borderId="47" xfId="0" applyNumberFormat="1" applyFont="1" applyFill="1" applyBorder="1" applyAlignment="1" applyProtection="1">
      <alignment horizontal="center" vertical="center"/>
    </xf>
    <xf numFmtId="1" fontId="38" fillId="2" borderId="48" xfId="0" applyNumberFormat="1" applyFont="1" applyFill="1" applyBorder="1" applyAlignment="1" applyProtection="1">
      <alignment horizontal="center" vertical="center"/>
    </xf>
    <xf numFmtId="1" fontId="38" fillId="2" borderId="49" xfId="0" applyNumberFormat="1" applyFont="1" applyFill="1" applyBorder="1" applyAlignment="1" applyProtection="1">
      <alignment horizontal="center" vertical="center"/>
    </xf>
    <xf numFmtId="1" fontId="38" fillId="2" borderId="50" xfId="0" applyNumberFormat="1" applyFont="1" applyFill="1" applyBorder="1" applyAlignment="1" applyProtection="1">
      <alignment horizontal="center" vertical="center"/>
    </xf>
    <xf numFmtId="0" fontId="1" fillId="0" borderId="19" xfId="0" applyFont="1" applyBorder="1" applyAlignment="1" applyProtection="1">
      <alignment horizontal="left"/>
    </xf>
    <xf numFmtId="0" fontId="0" fillId="0" borderId="2" xfId="0" applyBorder="1" applyAlignment="1" applyProtection="1"/>
    <xf numFmtId="0" fontId="1" fillId="0" borderId="4" xfId="0" applyFont="1" applyBorder="1" applyAlignment="1" applyProtection="1">
      <alignment horizontal="left"/>
    </xf>
    <xf numFmtId="0" fontId="0" fillId="0" borderId="0" xfId="0" applyBorder="1" applyAlignment="1" applyProtection="1"/>
    <xf numFmtId="0" fontId="17" fillId="0" borderId="0" xfId="0" applyFont="1" applyBorder="1" applyAlignment="1" applyProtection="1">
      <alignment horizontal="center"/>
    </xf>
    <xf numFmtId="14" fontId="36" fillId="2" borderId="37" xfId="0" applyNumberFormat="1" applyFont="1" applyFill="1" applyBorder="1" applyAlignment="1" applyProtection="1">
      <alignment horizontal="center" vertical="center"/>
    </xf>
    <xf numFmtId="0" fontId="37" fillId="2" borderId="38" xfId="0" applyFont="1" applyFill="1" applyBorder="1" applyAlignment="1" applyProtection="1">
      <alignment horizontal="center" vertical="center"/>
    </xf>
    <xf numFmtId="0" fontId="37" fillId="2" borderId="39" xfId="0" applyFont="1" applyFill="1" applyBorder="1" applyAlignment="1" applyProtection="1">
      <alignment horizontal="center" vertical="center"/>
    </xf>
    <xf numFmtId="0" fontId="37" fillId="2" borderId="40" xfId="0" applyFont="1" applyFill="1" applyBorder="1" applyAlignment="1" applyProtection="1">
      <alignment horizontal="center" vertical="center"/>
    </xf>
    <xf numFmtId="0" fontId="37" fillId="2" borderId="0" xfId="0" applyFont="1" applyFill="1" applyBorder="1" applyAlignment="1" applyProtection="1">
      <alignment horizontal="center" vertical="center"/>
    </xf>
    <xf numFmtId="0" fontId="37" fillId="2" borderId="41" xfId="0" applyFont="1" applyFill="1" applyBorder="1" applyAlignment="1" applyProtection="1">
      <alignment horizontal="center" vertical="center"/>
    </xf>
    <xf numFmtId="0" fontId="37" fillId="2" borderId="42" xfId="0" applyFont="1" applyFill="1" applyBorder="1" applyAlignment="1" applyProtection="1">
      <alignment horizontal="center" vertical="center"/>
    </xf>
    <xf numFmtId="0" fontId="37" fillId="2" borderId="43" xfId="0" applyFont="1" applyFill="1" applyBorder="1" applyAlignment="1" applyProtection="1">
      <alignment horizontal="center" vertical="center"/>
    </xf>
    <xf numFmtId="0" fontId="37" fillId="2" borderId="44" xfId="0" applyFont="1" applyFill="1" applyBorder="1" applyAlignment="1" applyProtection="1">
      <alignment horizontal="center" vertical="center"/>
    </xf>
    <xf numFmtId="0" fontId="14" fillId="0" borderId="0" xfId="0" applyFont="1" applyBorder="1" applyAlignment="1" applyProtection="1">
      <alignment horizontal="center" vertical="center"/>
    </xf>
    <xf numFmtId="0" fontId="15" fillId="0" borderId="0" xfId="0" applyFont="1" applyBorder="1" applyAlignment="1" applyProtection="1">
      <alignment horizontal="center" vertical="center"/>
    </xf>
    <xf numFmtId="0" fontId="40" fillId="0" borderId="0" xfId="0" applyFont="1" applyBorder="1" applyAlignment="1" applyProtection="1">
      <alignment horizontal="center" vertical="top" wrapText="1"/>
    </xf>
    <xf numFmtId="0" fontId="43" fillId="0" borderId="138" xfId="0" applyFont="1" applyBorder="1" applyAlignment="1" applyProtection="1">
      <alignment horizontal="left" vertical="top" wrapText="1"/>
    </xf>
    <xf numFmtId="0" fontId="43" fillId="0" borderId="0" xfId="0" applyFont="1" applyAlignment="1" applyProtection="1">
      <alignment horizontal="left" vertical="top" wrapText="1"/>
    </xf>
    <xf numFmtId="0" fontId="64" fillId="0" borderId="8" xfId="0" applyFont="1" applyBorder="1" applyAlignment="1">
      <alignment horizontal="left" vertical="center" wrapText="1"/>
    </xf>
    <xf numFmtId="0" fontId="43" fillId="0" borderId="4" xfId="0" applyFont="1" applyFill="1" applyBorder="1" applyAlignment="1" applyProtection="1">
      <alignment horizontal="center" wrapText="1"/>
    </xf>
    <xf numFmtId="0" fontId="43" fillId="0" borderId="41" xfId="0" applyFont="1" applyFill="1" applyBorder="1" applyAlignment="1" applyProtection="1">
      <alignment horizontal="center" wrapText="1"/>
    </xf>
    <xf numFmtId="0" fontId="12" fillId="0" borderId="17" xfId="0" applyFont="1" applyFill="1" applyBorder="1" applyAlignment="1" applyProtection="1">
      <alignment horizontal="right" vertical="center" wrapText="1"/>
    </xf>
    <xf numFmtId="0" fontId="12" fillId="0" borderId="7" xfId="0" applyFont="1" applyFill="1" applyBorder="1" applyAlignment="1" applyProtection="1">
      <alignment horizontal="right" vertical="center" wrapText="1"/>
    </xf>
    <xf numFmtId="0" fontId="65" fillId="14" borderId="4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5" fillId="0" borderId="19" xfId="0" applyFont="1" applyBorder="1" applyAlignment="1" applyProtection="1">
      <alignment vertical="center"/>
    </xf>
    <xf numFmtId="0" fontId="0" fillId="0" borderId="3" xfId="0" applyBorder="1" applyAlignment="1" applyProtection="1"/>
    <xf numFmtId="0" fontId="0" fillId="0" borderId="17" xfId="0" applyBorder="1" applyAlignment="1" applyProtection="1"/>
    <xf numFmtId="0" fontId="0" fillId="0" borderId="8" xfId="0" applyBorder="1" applyAlignment="1" applyProtection="1"/>
    <xf numFmtId="0" fontId="0" fillId="0" borderId="7" xfId="0" applyBorder="1" applyAlignment="1" applyProtection="1"/>
    <xf numFmtId="0" fontId="0" fillId="0" borderId="4" xfId="0" applyBorder="1" applyAlignment="1" applyProtection="1"/>
    <xf numFmtId="49" fontId="2" fillId="0" borderId="19" xfId="0" applyNumberFormat="1" applyFont="1" applyFill="1" applyBorder="1" applyAlignment="1" applyProtection="1">
      <alignment horizontal="left" vertical="center"/>
      <protection locked="0"/>
    </xf>
    <xf numFmtId="49" fontId="2" fillId="0" borderId="2" xfId="0" applyNumberFormat="1" applyFont="1" applyFill="1" applyBorder="1" applyAlignment="1" applyProtection="1">
      <alignment horizontal="left" vertical="center"/>
      <protection locked="0"/>
    </xf>
    <xf numFmtId="49" fontId="2" fillId="0" borderId="3" xfId="0" applyNumberFormat="1" applyFont="1" applyFill="1" applyBorder="1" applyAlignment="1" applyProtection="1">
      <alignment horizontal="left" vertical="center"/>
      <protection locked="0"/>
    </xf>
    <xf numFmtId="49" fontId="2" fillId="0" borderId="17" xfId="0" applyNumberFormat="1" applyFont="1" applyFill="1" applyBorder="1" applyAlignment="1" applyProtection="1">
      <alignment horizontal="left" vertical="center"/>
      <protection locked="0"/>
    </xf>
    <xf numFmtId="49" fontId="2" fillId="0" borderId="8" xfId="0" applyNumberFormat="1" applyFont="1" applyFill="1" applyBorder="1" applyAlignment="1" applyProtection="1">
      <alignment horizontal="left" vertical="center"/>
      <protection locked="0"/>
    </xf>
    <xf numFmtId="49" fontId="2" fillId="0" borderId="7" xfId="0" applyNumberFormat="1" applyFont="1" applyFill="1" applyBorder="1" applyAlignment="1" applyProtection="1">
      <alignment horizontal="left" vertical="center"/>
      <protection locked="0"/>
    </xf>
    <xf numFmtId="166" fontId="15" fillId="0" borderId="59" xfId="0" applyNumberFormat="1" applyFont="1" applyBorder="1" applyAlignment="1" applyProtection="1">
      <alignment horizontal="center"/>
      <protection locked="0"/>
    </xf>
    <xf numFmtId="166" fontId="15" fillId="0" borderId="60" xfId="0" applyNumberFormat="1" applyFont="1" applyBorder="1" applyAlignment="1" applyProtection="1">
      <alignment horizontal="center"/>
      <protection locked="0"/>
    </xf>
    <xf numFmtId="0" fontId="2" fillId="0" borderId="3" xfId="0" applyFont="1" applyBorder="1" applyAlignment="1" applyProtection="1">
      <alignment horizontal="center" vertical="center"/>
    </xf>
    <xf numFmtId="0" fontId="2" fillId="0" borderId="7" xfId="0" applyFont="1" applyBorder="1" applyAlignment="1" applyProtection="1">
      <alignment horizontal="center" vertical="center"/>
    </xf>
    <xf numFmtId="0" fontId="33" fillId="0" borderId="19" xfId="0" applyFont="1" applyBorder="1" applyAlignment="1" applyProtection="1">
      <alignment horizontal="right" vertical="center"/>
    </xf>
    <xf numFmtId="0" fontId="33" fillId="0" borderId="4" xfId="0" applyFont="1" applyBorder="1" applyAlignment="1" applyProtection="1">
      <alignment horizontal="right" vertical="center"/>
    </xf>
    <xf numFmtId="0" fontId="19" fillId="0" borderId="61" xfId="0" applyFont="1" applyBorder="1" applyAlignment="1" applyProtection="1">
      <alignment horizontal="center"/>
    </xf>
    <xf numFmtId="0" fontId="19" fillId="0" borderId="62" xfId="0" applyFont="1" applyBorder="1" applyAlignment="1" applyProtection="1">
      <alignment horizontal="center"/>
    </xf>
    <xf numFmtId="49" fontId="12" fillId="0" borderId="2" xfId="0" applyNumberFormat="1" applyFont="1" applyFill="1" applyBorder="1" applyAlignment="1" applyProtection="1">
      <alignment horizontal="left" vertical="center" wrapText="1"/>
    </xf>
    <xf numFmtId="49" fontId="12" fillId="0" borderId="3" xfId="0" applyNumberFormat="1" applyFont="1" applyFill="1" applyBorder="1" applyAlignment="1" applyProtection="1">
      <alignment horizontal="left" vertical="center" wrapText="1"/>
    </xf>
    <xf numFmtId="49" fontId="12" fillId="0" borderId="8" xfId="0" applyNumberFormat="1" applyFont="1" applyFill="1" applyBorder="1" applyAlignment="1" applyProtection="1">
      <alignment horizontal="left" vertical="center" wrapText="1"/>
    </xf>
    <xf numFmtId="49" fontId="12" fillId="0" borderId="7" xfId="0" applyNumberFormat="1" applyFont="1" applyFill="1" applyBorder="1" applyAlignment="1" applyProtection="1">
      <alignment horizontal="left" vertical="center" wrapText="1"/>
    </xf>
    <xf numFmtId="0" fontId="34" fillId="0" borderId="2" xfId="0" applyFont="1" applyBorder="1" applyAlignment="1" applyProtection="1">
      <alignment horizontal="left" vertical="center"/>
    </xf>
    <xf numFmtId="0" fontId="34" fillId="0" borderId="3" xfId="0" applyFont="1" applyBorder="1" applyAlignment="1" applyProtection="1">
      <alignment horizontal="left" vertical="center"/>
    </xf>
    <xf numFmtId="0" fontId="34" fillId="0" borderId="0" xfId="0" applyFont="1" applyBorder="1" applyAlignment="1" applyProtection="1">
      <alignment horizontal="left" vertical="center"/>
    </xf>
    <xf numFmtId="0" fontId="34" fillId="0" borderId="5" xfId="0" applyFont="1" applyBorder="1" applyAlignment="1" applyProtection="1">
      <alignment horizontal="left" vertical="center"/>
    </xf>
    <xf numFmtId="49" fontId="9" fillId="0" borderId="20"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vertical="center"/>
      <protection locked="0"/>
    </xf>
    <xf numFmtId="49" fontId="9" fillId="0" borderId="18" xfId="0" applyNumberFormat="1" applyFont="1" applyFill="1" applyBorder="1" applyAlignment="1" applyProtection="1">
      <alignment horizontal="center" vertical="center"/>
      <protection locked="0"/>
    </xf>
    <xf numFmtId="0" fontId="5" fillId="0" borderId="20" xfId="0" applyFont="1" applyBorder="1" applyAlignment="1" applyProtection="1">
      <alignment horizontal="left" vertical="center"/>
    </xf>
    <xf numFmtId="0" fontId="5" fillId="0" borderId="23" xfId="0" applyFont="1" applyBorder="1" applyAlignment="1" applyProtection="1">
      <alignment horizontal="left" vertical="center"/>
    </xf>
    <xf numFmtId="0" fontId="5" fillId="0" borderId="18" xfId="0" applyFont="1" applyBorder="1" applyAlignment="1" applyProtection="1">
      <alignment horizontal="left" vertical="center"/>
    </xf>
    <xf numFmtId="0" fontId="41" fillId="0" borderId="25" xfId="0" applyFont="1" applyBorder="1" applyAlignment="1" applyProtection="1">
      <alignment horizontal="center" vertical="center"/>
    </xf>
    <xf numFmtId="0" fontId="41" fillId="0" borderId="26" xfId="0" applyFont="1" applyBorder="1" applyAlignment="1" applyProtection="1">
      <alignment horizontal="center" vertical="center"/>
    </xf>
    <xf numFmtId="176" fontId="3" fillId="0" borderId="19" xfId="0" applyNumberFormat="1" applyFont="1" applyBorder="1" applyAlignment="1" applyProtection="1">
      <alignment horizontal="center" vertical="center"/>
    </xf>
    <xf numFmtId="176" fontId="3" fillId="0" borderId="3" xfId="0" applyNumberFormat="1" applyFont="1" applyBorder="1" applyAlignment="1" applyProtection="1">
      <alignment horizontal="center" vertical="center"/>
    </xf>
    <xf numFmtId="176" fontId="3" fillId="0" borderId="17" xfId="0" applyNumberFormat="1" applyFont="1" applyBorder="1" applyAlignment="1" applyProtection="1">
      <alignment horizontal="center" vertical="center"/>
    </xf>
    <xf numFmtId="176" fontId="3" fillId="0" borderId="7" xfId="0" applyNumberFormat="1" applyFont="1" applyBorder="1" applyAlignment="1" applyProtection="1">
      <alignment horizontal="center" vertical="center"/>
    </xf>
    <xf numFmtId="0" fontId="42" fillId="0" borderId="19" xfId="0" applyFont="1" applyBorder="1" applyAlignment="1" applyProtection="1">
      <alignment horizontal="center" vertical="center" wrapText="1"/>
    </xf>
    <xf numFmtId="0" fontId="42" fillId="0" borderId="2" xfId="0" applyFont="1" applyBorder="1" applyAlignment="1" applyProtection="1">
      <alignment horizontal="center" vertical="center" wrapText="1"/>
    </xf>
    <xf numFmtId="0" fontId="42" fillId="0" borderId="3" xfId="0" applyFont="1" applyBorder="1" applyAlignment="1" applyProtection="1">
      <alignment horizontal="center" vertical="center" wrapText="1"/>
    </xf>
    <xf numFmtId="0" fontId="42" fillId="0" borderId="4" xfId="0" applyFont="1" applyBorder="1" applyAlignment="1" applyProtection="1">
      <alignment horizontal="center" vertical="center" wrapText="1"/>
    </xf>
    <xf numFmtId="0" fontId="42" fillId="0" borderId="0" xfId="0" applyFont="1" applyBorder="1" applyAlignment="1" applyProtection="1">
      <alignment horizontal="center" vertical="center" wrapText="1"/>
    </xf>
    <xf numFmtId="0" fontId="42" fillId="0" borderId="5" xfId="0" applyFont="1" applyBorder="1" applyAlignment="1" applyProtection="1">
      <alignment horizontal="center" vertical="center" wrapText="1"/>
    </xf>
    <xf numFmtId="0" fontId="42" fillId="0" borderId="17" xfId="0" applyFont="1" applyBorder="1" applyAlignment="1" applyProtection="1">
      <alignment horizontal="center" vertical="center" wrapText="1"/>
    </xf>
    <xf numFmtId="0" fontId="42" fillId="0" borderId="8" xfId="0" applyFont="1" applyBorder="1" applyAlignment="1" applyProtection="1">
      <alignment horizontal="center" vertical="center" wrapText="1"/>
    </xf>
    <xf numFmtId="0" fontId="42" fillId="0" borderId="7" xfId="0" applyFont="1" applyBorder="1" applyAlignment="1" applyProtection="1">
      <alignment horizontal="center" vertical="center" wrapText="1"/>
    </xf>
    <xf numFmtId="0" fontId="19" fillId="0" borderId="155" xfId="0" applyFont="1" applyBorder="1" applyAlignment="1" applyProtection="1">
      <alignment horizontal="center"/>
    </xf>
    <xf numFmtId="0" fontId="30" fillId="0" borderId="25" xfId="0" applyFont="1" applyBorder="1" applyAlignment="1" applyProtection="1">
      <alignment horizontal="center" vertical="center"/>
    </xf>
    <xf numFmtId="0" fontId="30" fillId="0" borderId="26" xfId="0" applyFont="1" applyBorder="1" applyAlignment="1" applyProtection="1">
      <alignment horizontal="center" vertical="center"/>
    </xf>
    <xf numFmtId="0" fontId="21" fillId="0" borderId="4" xfId="0" applyFont="1" applyBorder="1" applyAlignment="1" applyProtection="1">
      <alignment horizontal="center" vertical="center"/>
    </xf>
    <xf numFmtId="0" fontId="21" fillId="0" borderId="0" xfId="0" applyFont="1" applyBorder="1" applyAlignment="1" applyProtection="1">
      <alignment horizontal="center" vertical="center"/>
    </xf>
    <xf numFmtId="0" fontId="21" fillId="0" borderId="5" xfId="0" applyFont="1" applyBorder="1" applyAlignment="1" applyProtection="1">
      <alignment horizontal="center" vertical="center"/>
    </xf>
    <xf numFmtId="0" fontId="21" fillId="0" borderId="17" xfId="0" applyFont="1" applyBorder="1" applyAlignment="1" applyProtection="1">
      <alignment horizontal="center" vertical="center"/>
    </xf>
    <xf numFmtId="0" fontId="21" fillId="0" borderId="8" xfId="0" applyFont="1" applyBorder="1" applyAlignment="1" applyProtection="1">
      <alignment horizontal="center" vertical="center"/>
    </xf>
    <xf numFmtId="0" fontId="21" fillId="0" borderId="7" xfId="0" applyFont="1" applyBorder="1" applyAlignment="1" applyProtection="1">
      <alignment horizontal="center" vertical="center"/>
    </xf>
    <xf numFmtId="0" fontId="12" fillId="0" borderId="2" xfId="0" applyNumberFormat="1" applyFont="1" applyFill="1" applyBorder="1" applyAlignment="1" applyProtection="1">
      <alignment horizontal="left" vertical="center" wrapText="1"/>
    </xf>
    <xf numFmtId="0" fontId="12" fillId="0" borderId="3" xfId="0" applyNumberFormat="1" applyFont="1" applyFill="1" applyBorder="1" applyAlignment="1" applyProtection="1">
      <alignment horizontal="left" vertical="center" wrapText="1"/>
    </xf>
    <xf numFmtId="0" fontId="12" fillId="0" borderId="8" xfId="0" applyNumberFormat="1" applyFont="1" applyFill="1" applyBorder="1" applyAlignment="1" applyProtection="1">
      <alignment horizontal="left" vertical="center" wrapText="1"/>
    </xf>
    <xf numFmtId="0" fontId="12" fillId="0" borderId="7" xfId="0" applyNumberFormat="1" applyFont="1" applyFill="1" applyBorder="1" applyAlignment="1" applyProtection="1">
      <alignment horizontal="left" vertical="center" wrapText="1"/>
    </xf>
    <xf numFmtId="0" fontId="2" fillId="0" borderId="19" xfId="0" applyNumberFormat="1" applyFont="1" applyFill="1" applyBorder="1" applyAlignment="1" applyProtection="1">
      <alignment horizontal="left" vertical="center"/>
    </xf>
    <xf numFmtId="0" fontId="2" fillId="0" borderId="2" xfId="0" applyNumberFormat="1" applyFont="1" applyFill="1" applyBorder="1" applyAlignment="1" applyProtection="1">
      <alignment horizontal="left" vertical="center"/>
    </xf>
    <xf numFmtId="0" fontId="2" fillId="0" borderId="3" xfId="0" applyNumberFormat="1" applyFont="1" applyFill="1" applyBorder="1" applyAlignment="1" applyProtection="1">
      <alignment horizontal="left" vertical="center"/>
    </xf>
    <xf numFmtId="0" fontId="40" fillId="0" borderId="5" xfId="0" applyFont="1" applyBorder="1" applyAlignment="1" applyProtection="1">
      <alignment horizontal="center" vertical="top" wrapText="1"/>
    </xf>
    <xf numFmtId="0" fontId="24" fillId="8" borderId="51" xfId="0" applyFont="1" applyFill="1" applyBorder="1" applyAlignment="1" applyProtection="1">
      <alignment horizontal="center" vertical="center"/>
    </xf>
    <xf numFmtId="0" fontId="24" fillId="8" borderId="52" xfId="0" applyFont="1" applyFill="1" applyBorder="1" applyAlignment="1" applyProtection="1">
      <alignment horizontal="center" vertical="center"/>
    </xf>
    <xf numFmtId="0" fontId="24" fillId="8" borderId="53" xfId="0" applyFont="1" applyFill="1" applyBorder="1" applyAlignment="1" applyProtection="1">
      <alignment horizontal="center" vertical="center"/>
    </xf>
    <xf numFmtId="0" fontId="24" fillId="8" borderId="54" xfId="0" applyFont="1" applyFill="1" applyBorder="1" applyAlignment="1" applyProtection="1">
      <alignment horizontal="center" vertical="center"/>
    </xf>
    <xf numFmtId="0" fontId="24" fillId="8" borderId="0" xfId="0" applyFont="1" applyFill="1" applyBorder="1" applyAlignment="1" applyProtection="1">
      <alignment horizontal="center" vertical="center"/>
    </xf>
    <xf numFmtId="0" fontId="24" fillId="8" borderId="55" xfId="0" applyFont="1" applyFill="1" applyBorder="1" applyAlignment="1" applyProtection="1">
      <alignment horizontal="center" vertical="center"/>
    </xf>
    <xf numFmtId="0" fontId="24" fillId="8" borderId="56" xfId="0" applyFont="1" applyFill="1" applyBorder="1" applyAlignment="1" applyProtection="1">
      <alignment horizontal="center" vertical="center"/>
    </xf>
    <xf numFmtId="0" fontId="24" fillId="8" borderId="57" xfId="0" applyFont="1" applyFill="1" applyBorder="1" applyAlignment="1" applyProtection="1">
      <alignment horizontal="center" vertical="center"/>
    </xf>
    <xf numFmtId="0" fontId="24" fillId="8" borderId="58" xfId="0" applyFont="1" applyFill="1" applyBorder="1" applyAlignment="1" applyProtection="1">
      <alignment horizontal="center" vertical="center"/>
    </xf>
    <xf numFmtId="0" fontId="18" fillId="2" borderId="0" xfId="0" applyFont="1" applyFill="1" applyBorder="1" applyAlignment="1" applyProtection="1">
      <alignment horizontal="center" vertical="center"/>
    </xf>
    <xf numFmtId="0" fontId="9" fillId="2" borderId="20" xfId="0" applyFont="1" applyFill="1" applyBorder="1" applyAlignment="1" applyProtection="1"/>
    <xf numFmtId="0" fontId="9" fillId="0" borderId="18" xfId="0" applyFont="1" applyBorder="1" applyAlignment="1" applyProtection="1"/>
    <xf numFmtId="0" fontId="13" fillId="0" borderId="19" xfId="0" applyFont="1" applyBorder="1" applyAlignment="1" applyProtection="1">
      <alignment vertical="center"/>
    </xf>
    <xf numFmtId="0" fontId="13" fillId="0" borderId="2" xfId="0" applyFont="1" applyBorder="1" applyAlignment="1" applyProtection="1"/>
    <xf numFmtId="0" fontId="13" fillId="0" borderId="3" xfId="0" applyFont="1" applyBorder="1" applyAlignment="1" applyProtection="1"/>
    <xf numFmtId="0" fontId="2" fillId="0" borderId="17" xfId="0" applyNumberFormat="1" applyFont="1" applyFill="1" applyBorder="1" applyAlignment="1" applyProtection="1">
      <alignment horizontal="left" vertical="center"/>
    </xf>
    <xf numFmtId="0" fontId="2" fillId="0" borderId="8" xfId="0" applyNumberFormat="1" applyFont="1" applyFill="1" applyBorder="1" applyAlignment="1" applyProtection="1">
      <alignment horizontal="left" vertical="center"/>
    </xf>
    <xf numFmtId="0" fontId="2" fillId="0" borderId="7" xfId="0" applyNumberFormat="1" applyFont="1" applyFill="1" applyBorder="1" applyAlignment="1" applyProtection="1">
      <alignment horizontal="left" vertical="center"/>
    </xf>
    <xf numFmtId="174" fontId="3" fillId="0" borderId="19" xfId="0" applyNumberFormat="1" applyFont="1" applyBorder="1" applyAlignment="1" applyProtection="1">
      <alignment horizontal="center" vertical="center"/>
    </xf>
    <xf numFmtId="174" fontId="3" fillId="0" borderId="3" xfId="0" applyNumberFormat="1" applyFont="1" applyBorder="1" applyAlignment="1" applyProtection="1">
      <alignment horizontal="center" vertical="center"/>
    </xf>
    <xf numFmtId="174" fontId="3" fillId="0" borderId="17" xfId="0" applyNumberFormat="1" applyFont="1" applyBorder="1" applyAlignment="1" applyProtection="1">
      <alignment horizontal="center" vertical="center"/>
    </xf>
    <xf numFmtId="174" fontId="3" fillId="0" borderId="7" xfId="0" applyNumberFormat="1" applyFont="1" applyBorder="1" applyAlignment="1" applyProtection="1">
      <alignment horizontal="center" vertical="center"/>
    </xf>
    <xf numFmtId="0" fontId="2" fillId="0" borderId="20" xfId="0" applyNumberFormat="1" applyFont="1" applyFill="1" applyBorder="1" applyAlignment="1" applyProtection="1">
      <alignment horizontal="left" vertical="center"/>
    </xf>
    <xf numFmtId="0" fontId="2" fillId="0" borderId="125" xfId="0" applyNumberFormat="1" applyFont="1" applyFill="1" applyBorder="1" applyAlignment="1" applyProtection="1">
      <alignment horizontal="left" vertical="center"/>
    </xf>
    <xf numFmtId="0" fontId="2" fillId="0" borderId="126" xfId="0" applyNumberFormat="1" applyFont="1" applyFill="1" applyBorder="1" applyAlignment="1" applyProtection="1">
      <alignment horizontal="left" vertical="center"/>
    </xf>
    <xf numFmtId="0" fontId="2" fillId="0" borderId="19" xfId="0" applyFont="1" applyBorder="1" applyAlignment="1" applyProtection="1">
      <alignment vertical="center"/>
    </xf>
    <xf numFmtId="0" fontId="9" fillId="0" borderId="2" xfId="0" applyFont="1" applyBorder="1" applyAlignment="1" applyProtection="1">
      <alignment vertical="center"/>
    </xf>
    <xf numFmtId="0" fontId="9" fillId="0" borderId="2" xfId="0" applyFont="1" applyBorder="1" applyAlignment="1" applyProtection="1"/>
    <xf numFmtId="0" fontId="9" fillId="0" borderId="17" xfId="0" applyFont="1" applyBorder="1" applyAlignment="1" applyProtection="1">
      <alignment vertical="center"/>
    </xf>
    <xf numFmtId="0" fontId="9" fillId="0" borderId="8" xfId="0" applyFont="1" applyBorder="1" applyAlignment="1" applyProtection="1">
      <alignment vertical="center"/>
    </xf>
    <xf numFmtId="0" fontId="9" fillId="0" borderId="8" xfId="0" applyFont="1" applyBorder="1" applyAlignment="1" applyProtection="1"/>
    <xf numFmtId="0" fontId="2" fillId="0" borderId="4" xfId="0" applyFont="1" applyBorder="1" applyAlignment="1" applyProtection="1">
      <alignment vertical="center"/>
    </xf>
    <xf numFmtId="0" fontId="9" fillId="0" borderId="0" xfId="0" applyFont="1" applyBorder="1" applyAlignment="1" applyProtection="1">
      <alignment vertical="center"/>
    </xf>
    <xf numFmtId="0" fontId="9" fillId="0" borderId="0" xfId="0" applyFont="1" applyBorder="1" applyAlignment="1" applyProtection="1"/>
    <xf numFmtId="0" fontId="20" fillId="0" borderId="19" xfId="0" applyFont="1" applyBorder="1" applyAlignment="1" applyProtection="1">
      <alignment horizontal="center" vertical="center" wrapText="1"/>
    </xf>
    <xf numFmtId="0" fontId="20" fillId="0" borderId="2" xfId="0" applyFont="1" applyBorder="1" applyAlignment="1" applyProtection="1">
      <alignment horizontal="center" vertical="center" wrapText="1"/>
    </xf>
    <xf numFmtId="0" fontId="20" fillId="0" borderId="3" xfId="0" applyFont="1" applyBorder="1" applyAlignment="1" applyProtection="1">
      <alignment horizontal="center" vertical="center" wrapText="1"/>
    </xf>
    <xf numFmtId="0" fontId="20" fillId="0" borderId="4" xfId="0" applyFont="1" applyBorder="1" applyAlignment="1" applyProtection="1">
      <alignment horizontal="center" vertical="center" wrapText="1"/>
    </xf>
    <xf numFmtId="0" fontId="20" fillId="0" borderId="0" xfId="0" applyFont="1" applyBorder="1" applyAlignment="1" applyProtection="1">
      <alignment horizontal="center" vertical="center" wrapText="1"/>
    </xf>
    <xf numFmtId="0" fontId="20" fillId="0" borderId="5" xfId="0" applyFont="1" applyBorder="1" applyAlignment="1" applyProtection="1">
      <alignment horizontal="center" vertical="center" wrapText="1"/>
    </xf>
    <xf numFmtId="0" fontId="55" fillId="12" borderId="94" xfId="0" applyFont="1" applyFill="1" applyBorder="1" applyAlignment="1" applyProtection="1">
      <alignment horizontal="left"/>
      <protection locked="0"/>
    </xf>
    <xf numFmtId="0" fontId="55" fillId="12" borderId="90" xfId="0" applyFont="1" applyFill="1" applyBorder="1" applyAlignment="1" applyProtection="1">
      <alignment horizontal="left"/>
      <protection locked="0"/>
    </xf>
    <xf numFmtId="0" fontId="55" fillId="12" borderId="127" xfId="0" applyFont="1" applyFill="1" applyBorder="1" applyAlignment="1" applyProtection="1">
      <alignment horizontal="left"/>
      <protection locked="0"/>
    </xf>
    <xf numFmtId="0" fontId="55" fillId="12" borderId="143" xfId="0" applyFont="1" applyFill="1" applyBorder="1" applyAlignment="1" applyProtection="1">
      <alignment horizontal="left"/>
      <protection locked="0"/>
    </xf>
    <xf numFmtId="0" fontId="55" fillId="12" borderId="123" xfId="0" applyFont="1" applyFill="1" applyBorder="1" applyAlignment="1" applyProtection="1">
      <alignment horizontal="left"/>
      <protection locked="0"/>
    </xf>
    <xf numFmtId="0" fontId="55" fillId="12" borderId="124" xfId="0" applyFont="1" applyFill="1" applyBorder="1" applyAlignment="1" applyProtection="1">
      <alignment horizontal="left"/>
      <protection locked="0"/>
    </xf>
    <xf numFmtId="49" fontId="41" fillId="12" borderId="88" xfId="0" applyNumberFormat="1" applyFont="1" applyFill="1" applyBorder="1" applyAlignment="1" applyProtection="1">
      <alignment horizontal="center"/>
      <protection locked="0"/>
    </xf>
    <xf numFmtId="49" fontId="41" fillId="12" borderId="142" xfId="0" applyNumberFormat="1" applyFont="1" applyFill="1" applyBorder="1" applyAlignment="1" applyProtection="1">
      <alignment horizontal="center"/>
      <protection locked="0"/>
    </xf>
    <xf numFmtId="49" fontId="41" fillId="12" borderId="90" xfId="0" applyNumberFormat="1" applyFont="1" applyFill="1" applyBorder="1" applyAlignment="1" applyProtection="1">
      <alignment horizontal="center"/>
      <protection locked="0"/>
    </xf>
    <xf numFmtId="49" fontId="41" fillId="12" borderId="127" xfId="0" applyNumberFormat="1" applyFont="1" applyFill="1" applyBorder="1" applyAlignment="1" applyProtection="1">
      <alignment horizontal="center"/>
      <protection locked="0"/>
    </xf>
    <xf numFmtId="187" fontId="41" fillId="12" borderId="90" xfId="0" applyNumberFormat="1" applyFont="1" applyFill="1" applyBorder="1" applyAlignment="1" applyProtection="1">
      <alignment horizontal="center"/>
      <protection locked="0"/>
    </xf>
    <xf numFmtId="187" fontId="41" fillId="12" borderId="127" xfId="0" applyNumberFormat="1" applyFont="1" applyFill="1" applyBorder="1" applyAlignment="1" applyProtection="1">
      <alignment horizontal="center"/>
      <protection locked="0"/>
    </xf>
    <xf numFmtId="49" fontId="41" fillId="12" borderId="88" xfId="0" applyNumberFormat="1" applyFont="1" applyFill="1" applyBorder="1" applyAlignment="1" applyProtection="1">
      <alignment horizontal="left"/>
      <protection locked="0"/>
    </xf>
    <xf numFmtId="49" fontId="41" fillId="12" borderId="142" xfId="0" applyNumberFormat="1" applyFont="1" applyFill="1" applyBorder="1" applyAlignment="1" applyProtection="1">
      <alignment horizontal="left"/>
      <protection locked="0"/>
    </xf>
    <xf numFmtId="0" fontId="51" fillId="0" borderId="94" xfId="0" applyFont="1" applyBorder="1" applyAlignment="1" applyProtection="1">
      <alignment horizontal="left"/>
    </xf>
    <xf numFmtId="0" fontId="51" fillId="0" borderId="90" xfId="0" applyFont="1" applyBorder="1" applyAlignment="1" applyProtection="1">
      <alignment horizontal="left"/>
    </xf>
    <xf numFmtId="0" fontId="51" fillId="0" borderId="127" xfId="0" applyFont="1" applyBorder="1" applyAlignment="1" applyProtection="1">
      <alignment horizontal="left"/>
    </xf>
    <xf numFmtId="0" fontId="41" fillId="12" borderId="90" xfId="0" applyNumberFormat="1" applyFont="1" applyFill="1" applyBorder="1" applyAlignment="1" applyProtection="1">
      <alignment horizontal="left"/>
      <protection locked="0"/>
    </xf>
    <xf numFmtId="49" fontId="41" fillId="12" borderId="90" xfId="0" applyNumberFormat="1" applyFont="1" applyFill="1" applyBorder="1" applyAlignment="1" applyProtection="1">
      <alignment horizontal="left"/>
      <protection locked="0"/>
    </xf>
    <xf numFmtId="0" fontId="7" fillId="0" borderId="93" xfId="0" applyFont="1" applyBorder="1" applyAlignment="1" applyProtection="1">
      <alignment horizontal="center"/>
    </xf>
    <xf numFmtId="0" fontId="7" fillId="0" borderId="94" xfId="0" applyFont="1" applyBorder="1" applyAlignment="1" applyProtection="1">
      <alignment horizontal="center"/>
    </xf>
    <xf numFmtId="0" fontId="7" fillId="0" borderId="95" xfId="0" applyFont="1" applyBorder="1" applyAlignment="1" applyProtection="1">
      <alignment horizontal="center"/>
    </xf>
    <xf numFmtId="0" fontId="7" fillId="0" borderId="90" xfId="0" applyFont="1" applyBorder="1" applyAlignment="1" applyProtection="1">
      <alignment horizontal="center"/>
    </xf>
    <xf numFmtId="0" fontId="1" fillId="0" borderId="144" xfId="1" applyFont="1" applyBorder="1" applyAlignment="1">
      <alignment horizontal="center" vertical="center"/>
    </xf>
    <xf numFmtId="0" fontId="1" fillId="0" borderId="0" xfId="1" applyFont="1" applyBorder="1" applyAlignment="1">
      <alignment horizontal="center" vertical="center"/>
    </xf>
    <xf numFmtId="0" fontId="1" fillId="0" borderId="8" xfId="1" applyFont="1" applyBorder="1" applyAlignment="1">
      <alignment horizontal="center" vertical="center"/>
    </xf>
    <xf numFmtId="0" fontId="66" fillId="0" borderId="144" xfId="1" quotePrefix="1" applyFont="1" applyBorder="1" applyAlignment="1">
      <alignment horizontal="left" vertical="center" wrapText="1"/>
    </xf>
    <xf numFmtId="0" fontId="66" fillId="0" borderId="0" xfId="1" quotePrefix="1" applyFont="1" applyBorder="1" applyAlignment="1">
      <alignment horizontal="left" vertical="center" wrapText="1"/>
    </xf>
    <xf numFmtId="0" fontId="66" fillId="0" borderId="8" xfId="1" quotePrefix="1" applyFont="1" applyBorder="1" applyAlignment="1">
      <alignment horizontal="left" vertical="center" wrapText="1"/>
    </xf>
    <xf numFmtId="0" fontId="1" fillId="0" borderId="2" xfId="1" applyFont="1" applyBorder="1" applyAlignment="1">
      <alignment horizontal="center" vertical="center"/>
    </xf>
    <xf numFmtId="0" fontId="66" fillId="0" borderId="2" xfId="1" quotePrefix="1" applyFont="1" applyBorder="1" applyAlignment="1">
      <alignment horizontal="left" vertical="center" wrapText="1"/>
    </xf>
    <xf numFmtId="0" fontId="1" fillId="0" borderId="2" xfId="1" applyFont="1" applyBorder="1" applyAlignment="1">
      <alignment horizontal="left" vertical="center"/>
    </xf>
    <xf numFmtId="0" fontId="1" fillId="0" borderId="0" xfId="1" applyFont="1" applyBorder="1" applyAlignment="1">
      <alignment horizontal="left" vertical="center"/>
    </xf>
    <xf numFmtId="0" fontId="1" fillId="0" borderId="8" xfId="1" applyFont="1" applyBorder="1" applyAlignment="1">
      <alignment horizontal="left" vertical="center"/>
    </xf>
    <xf numFmtId="0" fontId="1" fillId="0" borderId="149" xfId="0" applyFont="1" applyBorder="1" applyAlignment="1">
      <alignment horizontal="center"/>
    </xf>
    <xf numFmtId="0" fontId="1" fillId="0" borderId="144" xfId="0" applyFont="1" applyBorder="1" applyAlignment="1">
      <alignment horizontal="center"/>
    </xf>
    <xf numFmtId="0" fontId="1" fillId="0" borderId="156" xfId="0" applyFont="1" applyBorder="1" applyAlignment="1">
      <alignment horizontal="center"/>
    </xf>
    <xf numFmtId="0" fontId="1" fillId="0" borderId="151"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0" fontId="1" fillId="0" borderId="4" xfId="0" applyFont="1" applyBorder="1" applyAlignment="1">
      <alignment horizontal="center"/>
    </xf>
    <xf numFmtId="0" fontId="1" fillId="0" borderId="152" xfId="0" applyFont="1" applyBorder="1" applyAlignment="1">
      <alignment horizontal="center"/>
    </xf>
    <xf numFmtId="0" fontId="1" fillId="0" borderId="150" xfId="0" applyFont="1" applyBorder="1" applyAlignment="1">
      <alignment horizontal="center"/>
    </xf>
    <xf numFmtId="0" fontId="1" fillId="0" borderId="19"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0" xfId="0" applyFont="1" applyAlignment="1">
      <alignment horizontal="center"/>
    </xf>
    <xf numFmtId="0" fontId="9" fillId="5" borderId="6" xfId="1" applyFont="1" applyFill="1" applyBorder="1" applyAlignment="1" applyProtection="1">
      <alignment horizontal="center"/>
      <protection locked="0"/>
    </xf>
    <xf numFmtId="0" fontId="1" fillId="7" borderId="6" xfId="5" applyFont="1" applyFill="1" applyBorder="1" applyAlignment="1">
      <alignment horizontal="center" vertical="top" textRotation="90"/>
    </xf>
    <xf numFmtId="0" fontId="52" fillId="0" borderId="145" xfId="1" applyFont="1" applyBorder="1" applyAlignment="1">
      <alignment horizontal="center"/>
    </xf>
    <xf numFmtId="0" fontId="52" fillId="0" borderId="146" xfId="1" applyFont="1" applyBorder="1" applyAlignment="1">
      <alignment horizontal="center"/>
    </xf>
    <xf numFmtId="0" fontId="52" fillId="0" borderId="148" xfId="1" applyFont="1" applyBorder="1" applyAlignment="1">
      <alignment horizontal="center"/>
    </xf>
    <xf numFmtId="0" fontId="46" fillId="0" borderId="2" xfId="0" applyFont="1" applyFill="1" applyBorder="1" applyAlignment="1">
      <alignment horizontal="center" vertical="center"/>
    </xf>
    <xf numFmtId="0" fontId="46" fillId="0" borderId="8" xfId="0" applyFont="1" applyFill="1" applyBorder="1" applyAlignment="1">
      <alignment horizontal="center" vertical="center"/>
    </xf>
    <xf numFmtId="0" fontId="46" fillId="0" borderId="2" xfId="0" applyFont="1" applyBorder="1" applyAlignment="1">
      <alignment horizontal="center" vertical="center"/>
    </xf>
    <xf numFmtId="0" fontId="46" fillId="0" borderId="0" xfId="0" applyFont="1" applyBorder="1" applyAlignment="1">
      <alignment horizontal="center" vertical="center"/>
    </xf>
    <xf numFmtId="0" fontId="46" fillId="0" borderId="8" xfId="0" applyFont="1" applyBorder="1" applyAlignment="1">
      <alignment horizontal="center" vertical="center"/>
    </xf>
    <xf numFmtId="0" fontId="9" fillId="0" borderId="19" xfId="0" applyFon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22" fontId="0" fillId="0" borderId="0" xfId="0" applyNumberFormat="1"/>
  </cellXfs>
  <cellStyles count="6">
    <cellStyle name="Good" xfId="3" builtinId="26"/>
    <cellStyle name="Normal" xfId="0" builtinId="0"/>
    <cellStyle name="Normal_Noise" xfId="5" xr:uid="{00000000-0005-0000-0000-000000000000}"/>
    <cellStyle name="Normale 2" xfId="1" xr:uid="{00000000-0005-0000-0000-000002000000}"/>
    <cellStyle name="Normale 3" xfId="2" xr:uid="{00000000-0005-0000-0000-000003000000}"/>
    <cellStyle name="Percentuale 2" xfId="4" xr:uid="{00000000-0005-0000-0000-000004000000}"/>
  </cellStyles>
  <dxfs count="121">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fill>
        <patternFill>
          <bgColor theme="1"/>
        </patternFill>
      </fill>
      <border>
        <left style="thin">
          <color auto="1"/>
        </left>
        <right style="thin">
          <color auto="1"/>
        </right>
        <top style="thin">
          <color auto="1"/>
        </top>
        <bottom style="thin">
          <color auto="1"/>
        </bottom>
        <vertical/>
        <horizontal/>
      </border>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font>
        <b/>
        <i val="0"/>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font>
        <b/>
        <i val="0"/>
        <color rgb="FF9C0006"/>
      </font>
      <fill>
        <patternFill>
          <bgColor rgb="FFFFC7CE"/>
        </patternFill>
      </fill>
    </dxf>
    <dxf>
      <numFmt numFmtId="177" formatCode="0.00;\-0.00;&quot;&quot;"/>
    </dxf>
    <dxf>
      <numFmt numFmtId="177" formatCode="0.00;\-0.00;&quot;&quot;"/>
    </dxf>
    <dxf>
      <numFmt numFmtId="177" formatCode="0.00;\-0.00;&quot;&quot;"/>
    </dxf>
    <dxf>
      <numFmt numFmtId="177" formatCode="0.00;\-0.00;&quot;&quot;"/>
    </dxf>
    <dxf>
      <numFmt numFmtId="177" formatCode="0.00;\-0.00;&quot;&quo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
      <fill>
        <patternFill>
          <bgColor theme="1"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color rgb="FF7171FF"/>
      <color rgb="FFFFFF99"/>
      <color rgb="FFCCFFCC"/>
      <color rgb="FFFFFFCC"/>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3" dropStyle="combo" dx="16" fmlaLink="E36" fmlaRange="Calc!$C$2:$C$4" noThreeD="1" sel="2" val="0"/>
</file>

<file path=xl/ctrlProps/ctrlProp3.xml><?xml version="1.0" encoding="utf-8"?>
<formControlPr xmlns="http://schemas.microsoft.com/office/spreadsheetml/2009/9/main" objectType="Drop" dropStyle="combo" dx="16" fmlaLink="E37" fmlaRange="Calc!$D$2:$D$5" noThreeD="1" sel="1" val="0"/>
</file>

<file path=xl/ctrlProps/ctrlProp4.xml><?xml version="1.0" encoding="utf-8"?>
<formControlPr xmlns="http://schemas.microsoft.com/office/spreadsheetml/2009/9/main" objectType="Drop" dropLines="15" dropStyle="combo" dx="16" fmlaLink="CompressorType" fmlaRange="Calc!$F$2:$F$16" noThreeD="1" sel="1" val="0"/>
</file>

<file path=xl/ctrlProps/ctrlProp5.xml><?xml version="1.0" encoding="utf-8"?>
<formControlPr xmlns="http://schemas.microsoft.com/office/spreadsheetml/2009/9/main" objectType="Drop" dropStyle="combo" dx="16" fmlaLink="$B$39" fmlaRange="Calc!$J$4:$J$9" noThreeD="1" sel="1" val="0"/>
</file>

<file path=xl/ctrlProps/ctrlProp6.xml><?xml version="1.0" encoding="utf-8"?>
<formControlPr xmlns="http://schemas.microsoft.com/office/spreadsheetml/2009/9/main" objectType="Drop" dropLines="4" dropStyle="combo" dx="16" fmlaLink="NumberOfServices" fmlaRange="Calc!$A$2:$A$5" noThreeD="1" sel="1" val="0"/>
</file>

<file path=xl/ctrlProps/ctrlProp7.xml><?xml version="1.0" encoding="utf-8"?>
<formControlPr xmlns="http://schemas.microsoft.com/office/spreadsheetml/2009/9/main" objectType="Drop" dropLines="3" dropStyle="combo" dx="16" fmlaLink="F36" fmlaRange="Calc!$C$2:$C$4" noThreeD="1" sel="3" val="0"/>
</file>

<file path=xl/ctrlProps/ctrlProp8.xml><?xml version="1.0" encoding="utf-8"?>
<formControlPr xmlns="http://schemas.microsoft.com/office/spreadsheetml/2009/9/main" objectType="Drop" dropLines="11" dropStyle="combo" dx="16" fmlaLink="NumberOfPoles" fmlaRange="Calc!$E$306:$E$316" noThreeD="1" sel="1" val="0"/>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2" dropStyle="combo" dx="16" fmlaLink="Stroke" fmlaRange="Calc!$K$33:$K$34" noThreeD="1" sel="0" val="0"/>
</file>

<file path=xl/ctrlProps/ctrlProp11.xml><?xml version="1.0" encoding="utf-8"?>
<formControlPr xmlns="http://schemas.microsoft.com/office/spreadsheetml/2009/9/main" objectType="Drop" dropLines="3" dropStyle="combo" dx="16" fmlaLink="Driver" fmlaRange="Calc!$M$2:$M$4" noThreeD="1" sel="0" val="0"/>
</file>

<file path=xl/ctrlProps/ctrlProp12.xml><?xml version="1.0" encoding="utf-8"?>
<formControlPr xmlns="http://schemas.microsoft.com/office/spreadsheetml/2009/9/main" objectType="Drop" dropStyle="combo" dx="16" fmlaLink="NNT" fmlaRange="Calc!$I$2:$I$3" noThreeD="1" sel="2" val="0"/>
</file>

<file path=xl/ctrlProps/ctrlProp13.xml><?xml version="1.0" encoding="utf-8"?>
<formControlPr xmlns="http://schemas.microsoft.com/office/spreadsheetml/2009/9/main" objectType="Drop" dropLines="3" dropStyle="combo" dx="16" fmlaLink="G36" fmlaRange="Calc!$C$2:$C$4" noThreeD="1" sel="3" val="0"/>
</file>

<file path=xl/ctrlProps/ctrlProp14.xml><?xml version="1.0" encoding="utf-8"?>
<formControlPr xmlns="http://schemas.microsoft.com/office/spreadsheetml/2009/9/main" objectType="Drop" dropLines="3" dropStyle="combo" dx="16" fmlaLink="GAS" fmlaRange="Calc!$A$8:$A$9" noThreeD="1" sel="1" val="0"/>
</file>

<file path=xl/ctrlProps/ctrlProp15.xml><?xml version="1.0" encoding="utf-8"?>
<formControlPr xmlns="http://schemas.microsoft.com/office/spreadsheetml/2009/9/main" objectType="Drop" dropLines="20" dropStyle="combo" dx="16" fmlaRange="CylDiam_li!$L$3:$L$73" noThreeD="1" sel="0" val="0"/>
</file>

<file path=xl/ctrlProps/ctrlProp16.xml><?xml version="1.0" encoding="utf-8"?>
<formControlPr xmlns="http://schemas.microsoft.com/office/spreadsheetml/2009/9/main" objectType="Drop" dropLines="20" dropStyle="combo" dx="16" fmlaRange="CylDiam_li!$L$3:$L$73" noThreeD="1" sel="0" val="0"/>
</file>

<file path=xl/ctrlProps/ctrlProp17.xml><?xml version="1.0" encoding="utf-8"?>
<formControlPr xmlns="http://schemas.microsoft.com/office/spreadsheetml/2009/9/main" objectType="Drop" dropLines="20" dropStyle="combo" dx="16" fmlaRange="CylDiam_li!$L$3:$L$73" noThreeD="1" sel="0" val="0"/>
</file>

<file path=xl/ctrlProps/ctrlProp18.xml><?xml version="1.0" encoding="utf-8"?>
<formControlPr xmlns="http://schemas.microsoft.com/office/spreadsheetml/2009/9/main" objectType="Drop" dropLines="20" dropStyle="combo" dx="16" fmlaRange="CylDiam_li!$L$3:$L$73" noThreeD="1" sel="0" val="0"/>
</file>

<file path=xl/ctrlProps/ctrlProp19.xml><?xml version="1.0" encoding="utf-8"?>
<formControlPr xmlns="http://schemas.microsoft.com/office/spreadsheetml/2009/9/main" objectType="Drop" dropLines="20" dropStyle="combo" dx="16" fmlaRange="CylDiam_li!$L$3:$L$73" noThreeD="1" sel="0" val="0"/>
</file>

<file path=xl/ctrlProps/ctrlProp20.xml><?xml version="1.0" encoding="utf-8"?>
<formControlPr xmlns="http://schemas.microsoft.com/office/spreadsheetml/2009/9/main" objectType="Drop" dropLines="20" dropStyle="combo" dx="16" fmlaRange="CylDiam_li!$L$3:$L$73" noThreeD="1" sel="0" val="0"/>
</file>

<file path=xl/ctrlProps/ctrlProp21.xml><?xml version="1.0" encoding="utf-8"?>
<formControlPr xmlns="http://schemas.microsoft.com/office/spreadsheetml/2009/9/main" objectType="Drop" dropLines="20" dropStyle="combo" dx="16" fmlaRange="CylDiam_li!$L$3:$L$73" noThreeD="1" sel="0" val="0"/>
</file>

<file path=xl/ctrlProps/ctrlProp22.xml><?xml version="1.0" encoding="utf-8"?>
<formControlPr xmlns="http://schemas.microsoft.com/office/spreadsheetml/2009/9/main" objectType="Drop" dropLines="20" dropStyle="combo" dx="16" fmlaRange="CylDiam_li!$L$3:$L$73" noThreeD="1" sel="0" val="0"/>
</file>

<file path=xl/ctrlProps/ctrlProp23.xml><?xml version="1.0" encoding="utf-8"?>
<formControlPr xmlns="http://schemas.microsoft.com/office/spreadsheetml/2009/9/main" objectType="Drop" dropLines="20" dropStyle="combo" dx="16" fmlaRange="CylDiam_li!$L$3:$L$73" noThreeD="1" sel="0" val="0"/>
</file>

<file path=xl/ctrlProps/ctrlProp24.xml><?xml version="1.0" encoding="utf-8"?>
<formControlPr xmlns="http://schemas.microsoft.com/office/spreadsheetml/2009/9/main" objectType="Drop" dropLines="20" dropStyle="combo" dx="16" fmlaRange="CylDiam_li!$L$3:$L$73" noThreeD="1" sel="0" val="0"/>
</file>

<file path=xl/ctrlProps/ctrlProp25.xml><?xml version="1.0" encoding="utf-8"?>
<formControlPr xmlns="http://schemas.microsoft.com/office/spreadsheetml/2009/9/main" objectType="Drop" dropLines="20" dropStyle="combo" dx="16" fmlaRange="CylDiam_li!$L$3:$L$73" noThreeD="1" sel="0" val="0"/>
</file>

<file path=xl/ctrlProps/ctrlProp26.xml><?xml version="1.0" encoding="utf-8"?>
<formControlPr xmlns="http://schemas.microsoft.com/office/spreadsheetml/2009/9/main" objectType="Drop" dropLines="20" dropStyle="combo" dx="16" fmlaRange="CylDiam_li!$L$3:$L$73" noThreeD="1" sel="0" val="0"/>
</file>

<file path=xl/ctrlProps/ctrlProp27.xml><?xml version="1.0" encoding="utf-8"?>
<formControlPr xmlns="http://schemas.microsoft.com/office/spreadsheetml/2009/9/main" objectType="Drop" dropLines="20" dropStyle="combo" dx="16" fmlaRange="CylDiam_li!$L$3:$L$73" noThreeD="1" sel="0" val="0"/>
</file>

<file path=xl/ctrlProps/ctrlProp28.xml><?xml version="1.0" encoding="utf-8"?>
<formControlPr xmlns="http://schemas.microsoft.com/office/spreadsheetml/2009/9/main" objectType="Drop" dropLines="20" dropStyle="combo" dx="16" fmlaRange="CylDiam_li!$L$3:$L$73" noThreeD="1" sel="0" val="0"/>
</file>

<file path=xl/ctrlProps/ctrlProp29.xml><?xml version="1.0" encoding="utf-8"?>
<formControlPr xmlns="http://schemas.microsoft.com/office/spreadsheetml/2009/9/main" objectType="Drop" dropLines="20" dropStyle="combo" dx="16" fmlaRange="CylDiam_li!$L$3:$L$73" noThreeD="1" sel="0" val="0"/>
</file>

<file path=xl/ctrlProps/ctrlProp30.xml><?xml version="1.0" encoding="utf-8"?>
<formControlPr xmlns="http://schemas.microsoft.com/office/spreadsheetml/2009/9/main" objectType="Drop" dropLines="20" dropStyle="combo" dx="16" fmlaRange="CylDiam_li!$L$3:$L$73" noThreeD="1" sel="0" val="0"/>
</file>

<file path=xl/ctrlProps/ctrlProp31.xml><?xml version="1.0" encoding="utf-8"?>
<formControlPr xmlns="http://schemas.microsoft.com/office/spreadsheetml/2009/9/main" objectType="Drop" dropLines="20" dropStyle="combo" dx="16" fmlaRange="CylDiam_li!$L$3:$L$73" noThreeD="1" sel="0" val="0"/>
</file>

<file path=xl/ctrlProps/ctrlProp32.xml><?xml version="1.0" encoding="utf-8"?>
<formControlPr xmlns="http://schemas.microsoft.com/office/spreadsheetml/2009/9/main" objectType="Drop" dropLines="20" dropStyle="combo" dx="16" fmlaRange="CylDiam_li!$L$3:$L$73" noThreeD="1" sel="0" val="0"/>
</file>

<file path=xl/ctrlProps/ctrlProp33.xml><?xml version="1.0" encoding="utf-8"?>
<formControlPr xmlns="http://schemas.microsoft.com/office/spreadsheetml/2009/9/main" objectType="Drop" dropLines="20" dropStyle="combo" dx="16" fmlaRange="CylDiam_li!$L$3:$L$73" noThreeD="1" sel="0" val="0"/>
</file>

<file path=xl/ctrlProps/ctrlProp34.xml><?xml version="1.0" encoding="utf-8"?>
<formControlPr xmlns="http://schemas.microsoft.com/office/spreadsheetml/2009/9/main" objectType="Drop" dropLines="20" dropStyle="combo" dx="16" fmlaRange="CylDiam_li!$L$3:$L$73" noThreeD="1" sel="0" val="0"/>
</file>

<file path=xl/ctrlProps/ctrlProp35.xml><?xml version="1.0" encoding="utf-8"?>
<formControlPr xmlns="http://schemas.microsoft.com/office/spreadsheetml/2009/9/main" objectType="Drop" dropLines="20" dropStyle="combo" dx="16" fmlaRange="CylDiam_li!$L$3:$L$73" noThreeD="1" sel="0" val="0"/>
</file>

<file path=xl/ctrlProps/ctrlProp36.xml><?xml version="1.0" encoding="utf-8"?>
<formControlPr xmlns="http://schemas.microsoft.com/office/spreadsheetml/2009/9/main" objectType="Drop" dropLines="20" dropStyle="combo" dx="16" fmlaRange="CylDiam_li!$L$3:$L$73" noThreeD="1" sel="0" val="0"/>
</file>

<file path=xl/ctrlProps/ctrlProp37.xml><?xml version="1.0" encoding="utf-8"?>
<formControlPr xmlns="http://schemas.microsoft.com/office/spreadsheetml/2009/9/main" objectType="Drop" dropLines="20" dropStyle="combo" dx="16" fmlaRange="CylDiam_li!$L$3:$L$73" noThreeD="1" sel="0" val="0"/>
</file>

<file path=xl/ctrlProps/ctrlProp38.xml><?xml version="1.0" encoding="utf-8"?>
<formControlPr xmlns="http://schemas.microsoft.com/office/spreadsheetml/2009/9/main" objectType="Drop" dropLines="20" dropStyle="combo" dx="16" fmlaRange="CylDiam_li!$L$3:$L$73" noThreeD="1" sel="0" val="0"/>
</file>

<file path=xl/ctrlProps/ctrlProp39.xml><?xml version="1.0" encoding="utf-8"?>
<formControlPr xmlns="http://schemas.microsoft.com/office/spreadsheetml/2009/9/main" objectType="Drop" dropLines="4" dropStyle="combo" dx="16" fmlaLink="AI24" fmlaRange="$AH$25:$AH$28" noThreeD="1" sel="3"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drawing6.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0</xdr:col>
      <xdr:colOff>1389529</xdr:colOff>
      <xdr:row>74</xdr:row>
      <xdr:rowOff>98473</xdr:rowOff>
    </xdr:from>
    <xdr:ext cx="762000" cy="282528"/>
    <xdr:sp macro="" textlink="">
      <xdr:nvSpPr>
        <xdr:cNvPr id="24" name="Rectangle 13">
          <a:extLst>
            <a:ext uri="{FF2B5EF4-FFF2-40B4-BE49-F238E27FC236}">
              <a16:creationId xmlns:a16="http://schemas.microsoft.com/office/drawing/2014/main" id="{00000000-0008-0000-0100-000018000000}"/>
            </a:ext>
          </a:extLst>
        </xdr:cNvPr>
        <xdr:cNvSpPr/>
      </xdr:nvSpPr>
      <xdr:spPr bwMode="auto">
        <a:xfrm>
          <a:off x="1389529" y="12312885"/>
          <a:ext cx="762000" cy="282528"/>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xdr:twoCellAnchor editAs="oneCell">
    <xdr:from>
      <xdr:col>3</xdr:col>
      <xdr:colOff>604837</xdr:colOff>
      <xdr:row>34</xdr:row>
      <xdr:rowOff>152399</xdr:rowOff>
    </xdr:from>
    <xdr:to>
      <xdr:col>6</xdr:col>
      <xdr:colOff>93417</xdr:colOff>
      <xdr:row>37</xdr:row>
      <xdr:rowOff>84259</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bwMode="auto">
        <a:xfrm>
          <a:off x="3495955" y="5777752"/>
          <a:ext cx="1584080" cy="559390"/>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0</xdr:col>
      <xdr:colOff>838201</xdr:colOff>
      <xdr:row>38</xdr:row>
      <xdr:rowOff>11205</xdr:rowOff>
    </xdr:from>
    <xdr:to>
      <xdr:col>2</xdr:col>
      <xdr:colOff>0</xdr:colOff>
      <xdr:row>39</xdr:row>
      <xdr:rowOff>145676</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bwMode="auto">
        <a:xfrm>
          <a:off x="838201" y="6925234"/>
          <a:ext cx="1290917" cy="291353"/>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twoCellAnchor editAs="oneCell">
    <xdr:from>
      <xdr:col>0</xdr:col>
      <xdr:colOff>1388265</xdr:colOff>
      <xdr:row>10</xdr:row>
      <xdr:rowOff>114300</xdr:rowOff>
    </xdr:from>
    <xdr:to>
      <xdr:col>2</xdr:col>
      <xdr:colOff>28571</xdr:colOff>
      <xdr:row>12</xdr:row>
      <xdr:rowOff>95250</xdr:rowOff>
    </xdr:to>
    <xdr:sp macro="" textlink="">
      <xdr:nvSpPr>
        <xdr:cNvPr id="2" name="Rectangle 1">
          <a:extLst>
            <a:ext uri="{FF2B5EF4-FFF2-40B4-BE49-F238E27FC236}">
              <a16:creationId xmlns:a16="http://schemas.microsoft.com/office/drawing/2014/main" id="{00000000-0008-0000-0100-000002000000}"/>
            </a:ext>
          </a:extLst>
        </xdr:cNvPr>
        <xdr:cNvSpPr/>
      </xdr:nvSpPr>
      <xdr:spPr bwMode="auto">
        <a:xfrm>
          <a:off x="1388265" y="2257425"/>
          <a:ext cx="783431" cy="314325"/>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6350</xdr:colOff>
          <xdr:row>19</xdr:row>
          <xdr:rowOff>0</xdr:rowOff>
        </xdr:from>
        <xdr:to>
          <xdr:col>10</xdr:col>
          <xdr:colOff>558800</xdr:colOff>
          <xdr:row>21</xdr:row>
          <xdr:rowOff>6350</xdr:rowOff>
        </xdr:to>
        <xdr:sp macro="" textlink="">
          <xdr:nvSpPr>
            <xdr:cNvPr id="1225" name="Button_Calculate"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it-IT" sz="1000" b="0" i="0" u="none" strike="noStrike" baseline="0">
                  <a:solidFill>
                    <a:srgbClr val="000000"/>
                  </a:solidFill>
                  <a:latin typeface="Arial"/>
                  <a:cs typeface="Arial"/>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685800</xdr:colOff>
          <xdr:row>35</xdr:row>
          <xdr:rowOff>196850</xdr:rowOff>
        </xdr:to>
        <xdr:sp macro="" textlink="">
          <xdr:nvSpPr>
            <xdr:cNvPr id="1231" name="DropLubrification"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25400</xdr:rowOff>
        </xdr:from>
        <xdr:to>
          <xdr:col>6</xdr:col>
          <xdr:colOff>6350</xdr:colOff>
          <xdr:row>36</xdr:row>
          <xdr:rowOff>222250</xdr:rowOff>
        </xdr:to>
        <xdr:sp macro="" textlink="">
          <xdr:nvSpPr>
            <xdr:cNvPr id="1241" name="DropCompressor_Speed"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151</xdr:row>
          <xdr:rowOff>76200</xdr:rowOff>
        </xdr:from>
        <xdr:to>
          <xdr:col>2</xdr:col>
          <xdr:colOff>0</xdr:colOff>
          <xdr:row>151</xdr:row>
          <xdr:rowOff>273050</xdr:rowOff>
        </xdr:to>
        <xdr:sp macro="" textlink="">
          <xdr:nvSpPr>
            <xdr:cNvPr id="1243" name="DropCompressorType"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958850</xdr:colOff>
          <xdr:row>38</xdr:row>
          <xdr:rowOff>38100</xdr:rowOff>
        </xdr:from>
        <xdr:to>
          <xdr:col>1</xdr:col>
          <xdr:colOff>609600</xdr:colOff>
          <xdr:row>39</xdr:row>
          <xdr:rowOff>82550</xdr:rowOff>
        </xdr:to>
        <xdr:sp macro="" textlink="">
          <xdr:nvSpPr>
            <xdr:cNvPr id="1244" name="DropMotorType"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0</xdr:rowOff>
        </xdr:from>
        <xdr:to>
          <xdr:col>1</xdr:col>
          <xdr:colOff>679450</xdr:colOff>
          <xdr:row>12</xdr:row>
          <xdr:rowOff>38100</xdr:rowOff>
        </xdr:to>
        <xdr:sp macro="" textlink="">
          <xdr:nvSpPr>
            <xdr:cNvPr id="1247" name="DropNumberOfServices"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xdr:colOff>
          <xdr:row>35</xdr:row>
          <xdr:rowOff>0</xdr:rowOff>
        </xdr:from>
        <xdr:to>
          <xdr:col>6</xdr:col>
          <xdr:colOff>0</xdr:colOff>
          <xdr:row>35</xdr:row>
          <xdr:rowOff>196850</xdr:rowOff>
        </xdr:to>
        <xdr:sp macro="" textlink="">
          <xdr:nvSpPr>
            <xdr:cNvPr id="1248" name="DropLubrification2" hidden="1">
              <a:extLst>
                <a:ext uri="{63B3BB69-23CF-44E3-9099-C40C66FF867C}">
                  <a14:compatExt spid="_x0000_s1248"/>
                </a:ext>
                <a:ext uri="{FF2B5EF4-FFF2-40B4-BE49-F238E27FC236}">
                  <a16:creationId xmlns:a16="http://schemas.microsoft.com/office/drawing/2014/main" id="{00000000-0008-0000-0100-0000E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76200</xdr:rowOff>
        </xdr:from>
        <xdr:to>
          <xdr:col>10</xdr:col>
          <xdr:colOff>0</xdr:colOff>
          <xdr:row>151</xdr:row>
          <xdr:rowOff>273050</xdr:rowOff>
        </xdr:to>
        <xdr:sp macro="" textlink="">
          <xdr:nvSpPr>
            <xdr:cNvPr id="1259" name="rpmtopoles"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565150</xdr:colOff>
          <xdr:row>19</xdr:row>
          <xdr:rowOff>152400</xdr:rowOff>
        </xdr:from>
        <xdr:to>
          <xdr:col>13</xdr:col>
          <xdr:colOff>311150</xdr:colOff>
          <xdr:row>21</xdr:row>
          <xdr:rowOff>38100</xdr:rowOff>
        </xdr:to>
        <xdr:sp macro="" textlink="">
          <xdr:nvSpPr>
            <xdr:cNvPr id="1261" name="Button_Calculate"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it-IT" sz="8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76200</xdr:rowOff>
        </xdr:from>
        <xdr:to>
          <xdr:col>5</xdr:col>
          <xdr:colOff>76200</xdr:colOff>
          <xdr:row>151</xdr:row>
          <xdr:rowOff>273050</xdr:rowOff>
        </xdr:to>
        <xdr:sp macro="" textlink="">
          <xdr:nvSpPr>
            <xdr:cNvPr id="1262" name="CompStroke"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450850</xdr:colOff>
          <xdr:row>151</xdr:row>
          <xdr:rowOff>76200</xdr:rowOff>
        </xdr:from>
        <xdr:to>
          <xdr:col>7</xdr:col>
          <xdr:colOff>647700</xdr:colOff>
          <xdr:row>151</xdr:row>
          <xdr:rowOff>273050</xdr:rowOff>
        </xdr:to>
        <xdr:sp macro="" textlink="">
          <xdr:nvSpPr>
            <xdr:cNvPr id="1264" name="Drop Dow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0</xdr:rowOff>
    </xdr:from>
    <xdr:to>
      <xdr:col>1</xdr:col>
      <xdr:colOff>452437</xdr:colOff>
      <xdr:row>4</xdr:row>
      <xdr:rowOff>221347</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905000" cy="1233378"/>
        </a:xfrm>
        <a:prstGeom prst="rect">
          <a:avLst/>
        </a:prstGeom>
      </xdr:spPr>
    </xdr:pic>
    <xdr:clientData/>
  </xdr:twoCellAnchor>
  <xdr:oneCellAnchor>
    <xdr:from>
      <xdr:col>7</xdr:col>
      <xdr:colOff>17371</xdr:colOff>
      <xdr:row>16</xdr:row>
      <xdr:rowOff>35720</xdr:rowOff>
    </xdr:from>
    <xdr:ext cx="888204" cy="333375"/>
    <xdr:sp macro="" textlink="">
      <xdr:nvSpPr>
        <xdr:cNvPr id="18" name="Rectangle 13">
          <a:extLst>
            <a:ext uri="{FF2B5EF4-FFF2-40B4-BE49-F238E27FC236}">
              <a16:creationId xmlns:a16="http://schemas.microsoft.com/office/drawing/2014/main" id="{00000000-0008-0000-0100-000012000000}"/>
            </a:ext>
          </a:extLst>
        </xdr:cNvPr>
        <xdr:cNvSpPr/>
      </xdr:nvSpPr>
      <xdr:spPr bwMode="auto">
        <a:xfrm>
          <a:off x="5709959" y="3038896"/>
          <a:ext cx="888204" cy="333375"/>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mc:AlternateContent xmlns:mc="http://schemas.openxmlformats.org/markup-compatibility/2006">
    <mc:Choice xmlns:a14="http://schemas.microsoft.com/office/drawing/2010/main" Requires="a14">
      <xdr:twoCellAnchor editAs="oneCell">
        <xdr:from>
          <xdr:col>7</xdr:col>
          <xdr:colOff>120650</xdr:colOff>
          <xdr:row>16</xdr:row>
          <xdr:rowOff>63500</xdr:rowOff>
        </xdr:from>
        <xdr:to>
          <xdr:col>8</xdr:col>
          <xdr:colOff>107950</xdr:colOff>
          <xdr:row>17</xdr:row>
          <xdr:rowOff>146050</xdr:rowOff>
        </xdr:to>
        <xdr:sp macro="" textlink="">
          <xdr:nvSpPr>
            <xdr:cNvPr id="1265" name="DropMotorType"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46506</xdr:colOff>
      <xdr:row>35</xdr:row>
      <xdr:rowOff>8827</xdr:rowOff>
    </xdr:from>
    <xdr:ext cx="648258" cy="237704"/>
    <xdr:sp macro="" textlink="">
      <xdr:nvSpPr>
        <xdr:cNvPr id="22" name="Rectangle 13">
          <a:extLst>
            <a:ext uri="{FF2B5EF4-FFF2-40B4-BE49-F238E27FC236}">
              <a16:creationId xmlns:a16="http://schemas.microsoft.com/office/drawing/2014/main" id="{00000000-0008-0000-0100-000016000000}"/>
            </a:ext>
          </a:extLst>
        </xdr:cNvPr>
        <xdr:cNvSpPr/>
      </xdr:nvSpPr>
      <xdr:spPr bwMode="auto">
        <a:xfrm>
          <a:off x="5033124" y="5791062"/>
          <a:ext cx="648258" cy="237704"/>
        </a:xfrm>
        <a:prstGeom prst="rect">
          <a:avLst/>
        </a:prstGeom>
        <a:solidFill>
          <a:srgbClr val="FFFF99"/>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mc:AlternateContent xmlns:mc="http://schemas.openxmlformats.org/markup-compatibility/2006">
    <mc:Choice xmlns:a14="http://schemas.microsoft.com/office/drawing/2010/main" Requires="a14">
      <xdr:twoCellAnchor editAs="oneCell">
        <xdr:from>
          <xdr:col>6</xdr:col>
          <xdr:colOff>25400</xdr:colOff>
          <xdr:row>35</xdr:row>
          <xdr:rowOff>0</xdr:rowOff>
        </xdr:from>
        <xdr:to>
          <xdr:col>7</xdr:col>
          <xdr:colOff>0</xdr:colOff>
          <xdr:row>35</xdr:row>
          <xdr:rowOff>196850</xdr:rowOff>
        </xdr:to>
        <xdr:sp macro="" textlink="">
          <xdr:nvSpPr>
            <xdr:cNvPr id="1268" name="DropLubrification3" hidden="1">
              <a:extLst>
                <a:ext uri="{63B3BB69-23CF-44E3-9099-C40C66FF867C}">
                  <a14:compatExt spid="_x0000_s1268"/>
                </a:ext>
                <a:ext uri="{FF2B5EF4-FFF2-40B4-BE49-F238E27FC236}">
                  <a16:creationId xmlns:a16="http://schemas.microsoft.com/office/drawing/2014/main" id="{00000000-0008-0000-0100-0000F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74</xdr:row>
          <xdr:rowOff>146050</xdr:rowOff>
        </xdr:from>
        <xdr:to>
          <xdr:col>2</xdr:col>
          <xdr:colOff>0</xdr:colOff>
          <xdr:row>145</xdr:row>
          <xdr:rowOff>31750</xdr:rowOff>
        </xdr:to>
        <xdr:sp macro="" textlink="">
          <xdr:nvSpPr>
            <xdr:cNvPr id="1269" name="DropLubrification3" descr="prova" hidden="1">
              <a:extLst>
                <a:ext uri="{63B3BB69-23CF-44E3-9099-C40C66FF867C}">
                  <a14:compatExt spid="_x0000_s1269"/>
                </a:ext>
                <a:ext uri="{FF2B5EF4-FFF2-40B4-BE49-F238E27FC236}">
                  <a16:creationId xmlns:a16="http://schemas.microsoft.com/office/drawing/2014/main" id="{00000000-0008-0000-0100-0000F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148479</xdr:colOff>
      <xdr:row>150</xdr:row>
      <xdr:rowOff>211229</xdr:rowOff>
    </xdr:from>
    <xdr:to>
      <xdr:col>8</xdr:col>
      <xdr:colOff>89649</xdr:colOff>
      <xdr:row>152</xdr:row>
      <xdr:rowOff>22411</xdr:rowOff>
    </xdr:to>
    <xdr:sp macro="" textlink="">
      <xdr:nvSpPr>
        <xdr:cNvPr id="3" name="Rectangle 2">
          <a:extLst>
            <a:ext uri="{FF2B5EF4-FFF2-40B4-BE49-F238E27FC236}">
              <a16:creationId xmlns:a16="http://schemas.microsoft.com/office/drawing/2014/main" id="{00000000-0008-0000-0100-000003000000}"/>
            </a:ext>
          </a:extLst>
        </xdr:cNvPr>
        <xdr:cNvSpPr/>
      </xdr:nvSpPr>
      <xdr:spPr bwMode="auto">
        <a:xfrm>
          <a:off x="4429126" y="14061700"/>
          <a:ext cx="2036670" cy="371476"/>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chemeClr val="bg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1441450</xdr:colOff>
          <xdr:row>155</xdr:row>
          <xdr:rowOff>38100</xdr:rowOff>
        </xdr:from>
        <xdr:to>
          <xdr:col>1</xdr:col>
          <xdr:colOff>654050</xdr:colOff>
          <xdr:row>155</xdr:row>
          <xdr:rowOff>234950</xdr:rowOff>
        </xdr:to>
        <xdr:sp macro="" textlink="">
          <xdr:nvSpPr>
            <xdr:cNvPr id="1270" name="CylDiam11" hidden="1">
              <a:extLst>
                <a:ext uri="{63B3BB69-23CF-44E3-9099-C40C66FF867C}">
                  <a14:compatExt spid="_x0000_s1270"/>
                </a:ext>
                <a:ext uri="{FF2B5EF4-FFF2-40B4-BE49-F238E27FC236}">
                  <a16:creationId xmlns:a16="http://schemas.microsoft.com/office/drawing/2014/main" id="{00000000-0008-0000-0100-0000F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155</xdr:row>
          <xdr:rowOff>38100</xdr:rowOff>
        </xdr:from>
        <xdr:to>
          <xdr:col>2</xdr:col>
          <xdr:colOff>723900</xdr:colOff>
          <xdr:row>155</xdr:row>
          <xdr:rowOff>234950</xdr:rowOff>
        </xdr:to>
        <xdr:sp macro="" textlink="">
          <xdr:nvSpPr>
            <xdr:cNvPr id="1271" name="CylDiam12" hidden="1">
              <a:extLst>
                <a:ext uri="{63B3BB69-23CF-44E3-9099-C40C66FF867C}">
                  <a14:compatExt spid="_x0000_s1271"/>
                </a:ext>
                <a:ext uri="{FF2B5EF4-FFF2-40B4-BE49-F238E27FC236}">
                  <a16:creationId xmlns:a16="http://schemas.microsoft.com/office/drawing/2014/main" id="{00000000-0008-0000-0100-0000F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1435100</xdr:colOff>
          <xdr:row>161</xdr:row>
          <xdr:rowOff>63500</xdr:rowOff>
        </xdr:from>
        <xdr:to>
          <xdr:col>1</xdr:col>
          <xdr:colOff>647700</xdr:colOff>
          <xdr:row>161</xdr:row>
          <xdr:rowOff>260350</xdr:rowOff>
        </xdr:to>
        <xdr:sp macro="" textlink="">
          <xdr:nvSpPr>
            <xdr:cNvPr id="1272" name="CylDiam21" hidden="1">
              <a:extLst>
                <a:ext uri="{63B3BB69-23CF-44E3-9099-C40C66FF867C}">
                  <a14:compatExt spid="_x0000_s1272"/>
                </a:ext>
                <a:ext uri="{FF2B5EF4-FFF2-40B4-BE49-F238E27FC236}">
                  <a16:creationId xmlns:a16="http://schemas.microsoft.com/office/drawing/2014/main" id="{00000000-0008-0000-01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155</xdr:row>
          <xdr:rowOff>44450</xdr:rowOff>
        </xdr:from>
        <xdr:to>
          <xdr:col>4</xdr:col>
          <xdr:colOff>25400</xdr:colOff>
          <xdr:row>155</xdr:row>
          <xdr:rowOff>254000</xdr:rowOff>
        </xdr:to>
        <xdr:sp macro="" textlink="">
          <xdr:nvSpPr>
            <xdr:cNvPr id="1273" name="CylDiam13" hidden="1">
              <a:extLst>
                <a:ext uri="{63B3BB69-23CF-44E3-9099-C40C66FF867C}">
                  <a14:compatExt spid="_x0000_s1273"/>
                </a:ext>
                <a:ext uri="{FF2B5EF4-FFF2-40B4-BE49-F238E27FC236}">
                  <a16:creationId xmlns:a16="http://schemas.microsoft.com/office/drawing/2014/main" id="{00000000-0008-0000-0100-0000F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63500</xdr:colOff>
          <xdr:row>155</xdr:row>
          <xdr:rowOff>44450</xdr:rowOff>
        </xdr:from>
        <xdr:to>
          <xdr:col>5</xdr:col>
          <xdr:colOff>6350</xdr:colOff>
          <xdr:row>155</xdr:row>
          <xdr:rowOff>254000</xdr:rowOff>
        </xdr:to>
        <xdr:sp macro="" textlink="">
          <xdr:nvSpPr>
            <xdr:cNvPr id="1274" name="CylDiam14" hidden="1">
              <a:extLst>
                <a:ext uri="{63B3BB69-23CF-44E3-9099-C40C66FF867C}">
                  <a14:compatExt spid="_x0000_s1274"/>
                </a:ext>
                <a:ext uri="{FF2B5EF4-FFF2-40B4-BE49-F238E27FC236}">
                  <a16:creationId xmlns:a16="http://schemas.microsoft.com/office/drawing/2014/main" id="{00000000-0008-0000-01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155</xdr:row>
          <xdr:rowOff>44450</xdr:rowOff>
        </xdr:from>
        <xdr:to>
          <xdr:col>6</xdr:col>
          <xdr:colOff>6350</xdr:colOff>
          <xdr:row>155</xdr:row>
          <xdr:rowOff>254000</xdr:rowOff>
        </xdr:to>
        <xdr:sp macro="" textlink="">
          <xdr:nvSpPr>
            <xdr:cNvPr id="1275" name="CylDiam15" hidden="1">
              <a:extLst>
                <a:ext uri="{63B3BB69-23CF-44E3-9099-C40C66FF867C}">
                  <a14:compatExt spid="_x0000_s1275"/>
                </a:ext>
                <a:ext uri="{FF2B5EF4-FFF2-40B4-BE49-F238E27FC236}">
                  <a16:creationId xmlns:a16="http://schemas.microsoft.com/office/drawing/2014/main" id="{00000000-0008-0000-0100-0000F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155</xdr:row>
          <xdr:rowOff>44450</xdr:rowOff>
        </xdr:from>
        <xdr:to>
          <xdr:col>7</xdr:col>
          <xdr:colOff>0</xdr:colOff>
          <xdr:row>155</xdr:row>
          <xdr:rowOff>254000</xdr:rowOff>
        </xdr:to>
        <xdr:sp macro="" textlink="">
          <xdr:nvSpPr>
            <xdr:cNvPr id="1276" name="CylDiam16" hidden="1">
              <a:extLst>
                <a:ext uri="{63B3BB69-23CF-44E3-9099-C40C66FF867C}">
                  <a14:compatExt spid="_x0000_s1276"/>
                </a:ext>
                <a:ext uri="{FF2B5EF4-FFF2-40B4-BE49-F238E27FC236}">
                  <a16:creationId xmlns:a16="http://schemas.microsoft.com/office/drawing/2014/main" id="{00000000-0008-0000-0100-0000F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155</xdr:row>
          <xdr:rowOff>44450</xdr:rowOff>
        </xdr:from>
        <xdr:to>
          <xdr:col>8</xdr:col>
          <xdr:colOff>6350</xdr:colOff>
          <xdr:row>155</xdr:row>
          <xdr:rowOff>254000</xdr:rowOff>
        </xdr:to>
        <xdr:sp macro="" textlink="">
          <xdr:nvSpPr>
            <xdr:cNvPr id="1277" name="CylDiam17" hidden="1">
              <a:extLst>
                <a:ext uri="{63B3BB69-23CF-44E3-9099-C40C66FF867C}">
                  <a14:compatExt spid="_x0000_s1277"/>
                </a:ext>
                <a:ext uri="{FF2B5EF4-FFF2-40B4-BE49-F238E27FC236}">
                  <a16:creationId xmlns:a16="http://schemas.microsoft.com/office/drawing/2014/main" id="{00000000-0008-0000-0100-0000F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155</xdr:row>
          <xdr:rowOff>44450</xdr:rowOff>
        </xdr:from>
        <xdr:to>
          <xdr:col>9</xdr:col>
          <xdr:colOff>38100</xdr:colOff>
          <xdr:row>155</xdr:row>
          <xdr:rowOff>254000</xdr:rowOff>
        </xdr:to>
        <xdr:sp macro="" textlink="">
          <xdr:nvSpPr>
            <xdr:cNvPr id="1278" name="CylDiam18"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161</xdr:row>
          <xdr:rowOff>63500</xdr:rowOff>
        </xdr:from>
        <xdr:to>
          <xdr:col>2</xdr:col>
          <xdr:colOff>723900</xdr:colOff>
          <xdr:row>161</xdr:row>
          <xdr:rowOff>260350</xdr:rowOff>
        </xdr:to>
        <xdr:sp macro="" textlink="">
          <xdr:nvSpPr>
            <xdr:cNvPr id="1279" name="CylDiam22"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161</xdr:row>
          <xdr:rowOff>69850</xdr:rowOff>
        </xdr:from>
        <xdr:to>
          <xdr:col>4</xdr:col>
          <xdr:colOff>6350</xdr:colOff>
          <xdr:row>161</xdr:row>
          <xdr:rowOff>260350</xdr:rowOff>
        </xdr:to>
        <xdr:sp macro="" textlink="">
          <xdr:nvSpPr>
            <xdr:cNvPr id="1280" name="CylDiam23"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63500</xdr:colOff>
          <xdr:row>161</xdr:row>
          <xdr:rowOff>69850</xdr:rowOff>
        </xdr:from>
        <xdr:to>
          <xdr:col>5</xdr:col>
          <xdr:colOff>6350</xdr:colOff>
          <xdr:row>161</xdr:row>
          <xdr:rowOff>260350</xdr:rowOff>
        </xdr:to>
        <xdr:sp macro="" textlink="">
          <xdr:nvSpPr>
            <xdr:cNvPr id="1281" name="CylDiam24"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44450</xdr:colOff>
          <xdr:row>161</xdr:row>
          <xdr:rowOff>69850</xdr:rowOff>
        </xdr:from>
        <xdr:to>
          <xdr:col>6</xdr:col>
          <xdr:colOff>0</xdr:colOff>
          <xdr:row>161</xdr:row>
          <xdr:rowOff>260350</xdr:rowOff>
        </xdr:to>
        <xdr:sp macro="" textlink="">
          <xdr:nvSpPr>
            <xdr:cNvPr id="1282" name="CylDiam25"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161</xdr:row>
          <xdr:rowOff>69850</xdr:rowOff>
        </xdr:from>
        <xdr:to>
          <xdr:col>6</xdr:col>
          <xdr:colOff>692150</xdr:colOff>
          <xdr:row>161</xdr:row>
          <xdr:rowOff>260350</xdr:rowOff>
        </xdr:to>
        <xdr:sp macro="" textlink="">
          <xdr:nvSpPr>
            <xdr:cNvPr id="1283" name="CylDiam26"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44450</xdr:colOff>
          <xdr:row>161</xdr:row>
          <xdr:rowOff>69850</xdr:rowOff>
        </xdr:from>
        <xdr:to>
          <xdr:col>8</xdr:col>
          <xdr:colOff>31750</xdr:colOff>
          <xdr:row>161</xdr:row>
          <xdr:rowOff>266700</xdr:rowOff>
        </xdr:to>
        <xdr:sp macro="" textlink="">
          <xdr:nvSpPr>
            <xdr:cNvPr id="1284" name="CylDiam27"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69850</xdr:colOff>
          <xdr:row>161</xdr:row>
          <xdr:rowOff>69850</xdr:rowOff>
        </xdr:from>
        <xdr:to>
          <xdr:col>9</xdr:col>
          <xdr:colOff>44450</xdr:colOff>
          <xdr:row>161</xdr:row>
          <xdr:rowOff>266700</xdr:rowOff>
        </xdr:to>
        <xdr:sp macro="" textlink="">
          <xdr:nvSpPr>
            <xdr:cNvPr id="1285" name="CylDiam28"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167</xdr:row>
          <xdr:rowOff>31750</xdr:rowOff>
        </xdr:from>
        <xdr:to>
          <xdr:col>2</xdr:col>
          <xdr:colOff>0</xdr:colOff>
          <xdr:row>167</xdr:row>
          <xdr:rowOff>228600</xdr:rowOff>
        </xdr:to>
        <xdr:sp macro="" textlink="">
          <xdr:nvSpPr>
            <xdr:cNvPr id="1286" name="CylDiam31"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63500</xdr:colOff>
          <xdr:row>167</xdr:row>
          <xdr:rowOff>38100</xdr:rowOff>
        </xdr:from>
        <xdr:to>
          <xdr:col>2</xdr:col>
          <xdr:colOff>723900</xdr:colOff>
          <xdr:row>167</xdr:row>
          <xdr:rowOff>228600</xdr:rowOff>
        </xdr:to>
        <xdr:sp macro="" textlink="">
          <xdr:nvSpPr>
            <xdr:cNvPr id="1287" name="CylDiam32"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167</xdr:row>
          <xdr:rowOff>38100</xdr:rowOff>
        </xdr:from>
        <xdr:to>
          <xdr:col>4</xdr:col>
          <xdr:colOff>6350</xdr:colOff>
          <xdr:row>167</xdr:row>
          <xdr:rowOff>234950</xdr:rowOff>
        </xdr:to>
        <xdr:sp macro="" textlink="">
          <xdr:nvSpPr>
            <xdr:cNvPr id="1288" name="CylDiam33" hidden="1">
              <a:extLst>
                <a:ext uri="{63B3BB69-23CF-44E3-9099-C40C66FF867C}">
                  <a14:compatExt spid="_x0000_s1288"/>
                </a:ext>
                <a:ext uri="{FF2B5EF4-FFF2-40B4-BE49-F238E27FC236}">
                  <a16:creationId xmlns:a16="http://schemas.microsoft.com/office/drawing/2014/main" id="{00000000-0008-0000-0100-00000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44450</xdr:colOff>
          <xdr:row>167</xdr:row>
          <xdr:rowOff>38100</xdr:rowOff>
        </xdr:from>
        <xdr:to>
          <xdr:col>5</xdr:col>
          <xdr:colOff>6350</xdr:colOff>
          <xdr:row>167</xdr:row>
          <xdr:rowOff>228600</xdr:rowOff>
        </xdr:to>
        <xdr:sp macro="" textlink="">
          <xdr:nvSpPr>
            <xdr:cNvPr id="1289" name="CylDiam34" hidden="1">
              <a:extLst>
                <a:ext uri="{63B3BB69-23CF-44E3-9099-C40C66FF867C}">
                  <a14:compatExt spid="_x0000_s1289"/>
                </a:ext>
                <a:ext uri="{FF2B5EF4-FFF2-40B4-BE49-F238E27FC236}">
                  <a16:creationId xmlns:a16="http://schemas.microsoft.com/office/drawing/2014/main" id="{00000000-0008-0000-0100-00000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167</xdr:row>
          <xdr:rowOff>44450</xdr:rowOff>
        </xdr:from>
        <xdr:to>
          <xdr:col>6</xdr:col>
          <xdr:colOff>0</xdr:colOff>
          <xdr:row>167</xdr:row>
          <xdr:rowOff>234950</xdr:rowOff>
        </xdr:to>
        <xdr:sp macro="" textlink="">
          <xdr:nvSpPr>
            <xdr:cNvPr id="1290" name="CylDiam35" hidden="1">
              <a:extLst>
                <a:ext uri="{63B3BB69-23CF-44E3-9099-C40C66FF867C}">
                  <a14:compatExt spid="_x0000_s1290"/>
                </a:ext>
                <a:ext uri="{FF2B5EF4-FFF2-40B4-BE49-F238E27FC236}">
                  <a16:creationId xmlns:a16="http://schemas.microsoft.com/office/drawing/2014/main" id="{00000000-0008-0000-0100-00000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31750</xdr:colOff>
          <xdr:row>167</xdr:row>
          <xdr:rowOff>38100</xdr:rowOff>
        </xdr:from>
        <xdr:to>
          <xdr:col>6</xdr:col>
          <xdr:colOff>692150</xdr:colOff>
          <xdr:row>167</xdr:row>
          <xdr:rowOff>234950</xdr:rowOff>
        </xdr:to>
        <xdr:sp macro="" textlink="">
          <xdr:nvSpPr>
            <xdr:cNvPr id="1291" name="CylDiam36" hidden="1">
              <a:extLst>
                <a:ext uri="{63B3BB69-23CF-44E3-9099-C40C66FF867C}">
                  <a14:compatExt spid="_x0000_s1291"/>
                </a:ext>
                <a:ext uri="{FF2B5EF4-FFF2-40B4-BE49-F238E27FC236}">
                  <a16:creationId xmlns:a16="http://schemas.microsoft.com/office/drawing/2014/main" id="{00000000-0008-0000-0100-00000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167</xdr:row>
          <xdr:rowOff>38100</xdr:rowOff>
        </xdr:from>
        <xdr:to>
          <xdr:col>8</xdr:col>
          <xdr:colOff>6350</xdr:colOff>
          <xdr:row>167</xdr:row>
          <xdr:rowOff>234950</xdr:rowOff>
        </xdr:to>
        <xdr:sp macro="" textlink="">
          <xdr:nvSpPr>
            <xdr:cNvPr id="1292" name="CylDiam37" hidden="1">
              <a:extLst>
                <a:ext uri="{63B3BB69-23CF-44E3-9099-C40C66FF867C}">
                  <a14:compatExt spid="_x0000_s1292"/>
                </a:ext>
                <a:ext uri="{FF2B5EF4-FFF2-40B4-BE49-F238E27FC236}">
                  <a16:creationId xmlns:a16="http://schemas.microsoft.com/office/drawing/2014/main" id="{00000000-0008-0000-0100-00000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44450</xdr:colOff>
          <xdr:row>167</xdr:row>
          <xdr:rowOff>38100</xdr:rowOff>
        </xdr:from>
        <xdr:to>
          <xdr:col>9</xdr:col>
          <xdr:colOff>31750</xdr:colOff>
          <xdr:row>167</xdr:row>
          <xdr:rowOff>234950</xdr:rowOff>
        </xdr:to>
        <xdr:sp macro="" textlink="">
          <xdr:nvSpPr>
            <xdr:cNvPr id="1293" name="CylDiam38" hidden="1">
              <a:extLst>
                <a:ext uri="{63B3BB69-23CF-44E3-9099-C40C66FF867C}">
                  <a14:compatExt spid="_x0000_s1293"/>
                </a:ext>
                <a:ext uri="{FF2B5EF4-FFF2-40B4-BE49-F238E27FC236}">
                  <a16:creationId xmlns:a16="http://schemas.microsoft.com/office/drawing/2014/main" id="{00000000-0008-0000-0100-00000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4</xdr:row>
      <xdr:rowOff>7034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905000" cy="123337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214312</xdr:colOff>
      <xdr:row>4</xdr:row>
      <xdr:rowOff>42753</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1060" t="16671"/>
        <a:stretch/>
      </xdr:blipFill>
      <xdr:spPr>
        <a:xfrm>
          <a:off x="0" y="0"/>
          <a:ext cx="1905000" cy="12333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21</xdr:col>
      <xdr:colOff>95250</xdr:colOff>
      <xdr:row>0</xdr:row>
      <xdr:rowOff>266701</xdr:rowOff>
    </xdr:from>
    <xdr:ext cx="1028699" cy="238124"/>
    <xdr:sp macro="" textlink="">
      <xdr:nvSpPr>
        <xdr:cNvPr id="5" name="Rectangle 13">
          <a:extLst>
            <a:ext uri="{FF2B5EF4-FFF2-40B4-BE49-F238E27FC236}">
              <a16:creationId xmlns:a16="http://schemas.microsoft.com/office/drawing/2014/main" id="{00000000-0008-0000-0500-000005000000}"/>
            </a:ext>
          </a:extLst>
        </xdr:cNvPr>
        <xdr:cNvSpPr/>
      </xdr:nvSpPr>
      <xdr:spPr bwMode="auto">
        <a:xfrm>
          <a:off x="8763000" y="266701"/>
          <a:ext cx="1028699" cy="238124"/>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oneCellAnchor>
  <xdr:twoCellAnchor editAs="oneCell">
    <xdr:from>
      <xdr:col>0</xdr:col>
      <xdr:colOff>33132</xdr:colOff>
      <xdr:row>0</xdr:row>
      <xdr:rowOff>16566</xdr:rowOff>
    </xdr:from>
    <xdr:to>
      <xdr:col>11</xdr:col>
      <xdr:colOff>382381</xdr:colOff>
      <xdr:row>4</xdr:row>
      <xdr:rowOff>23388</xdr:rowOff>
    </xdr:to>
    <xdr:pic>
      <xdr:nvPicPr>
        <xdr:cNvPr id="2" name="Picture 5">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32" y="16566"/>
          <a:ext cx="2768599" cy="816447"/>
        </a:xfrm>
        <a:prstGeom prst="rect">
          <a:avLst/>
        </a:prstGeom>
      </xdr:spPr>
    </xdr:pic>
    <xdr:clientData/>
  </xdr:twoCellAnchor>
  <xdr:twoCellAnchor editAs="oneCell">
    <xdr:from>
      <xdr:col>0</xdr:col>
      <xdr:colOff>33132</xdr:colOff>
      <xdr:row>0</xdr:row>
      <xdr:rowOff>16566</xdr:rowOff>
    </xdr:from>
    <xdr:to>
      <xdr:col>11</xdr:col>
      <xdr:colOff>382381</xdr:colOff>
      <xdr:row>4</xdr:row>
      <xdr:rowOff>23388</xdr:rowOff>
    </xdr:to>
    <xdr:pic>
      <xdr:nvPicPr>
        <xdr:cNvPr id="3" name="Picture 5">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132" y="16566"/>
          <a:ext cx="2768599" cy="81644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120650</xdr:colOff>
          <xdr:row>0</xdr:row>
          <xdr:rowOff>273050</xdr:rowOff>
        </xdr:from>
        <xdr:to>
          <xdr:col>23</xdr:col>
          <xdr:colOff>25400</xdr:colOff>
          <xdr:row>2</xdr:row>
          <xdr:rowOff>6350</xdr:rowOff>
        </xdr:to>
        <xdr:sp macro="" textlink="">
          <xdr:nvSpPr>
            <xdr:cNvPr id="4098" name="DropNumberOfServices"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9</xdr:col>
      <xdr:colOff>85725</xdr:colOff>
      <xdr:row>40</xdr:row>
      <xdr:rowOff>38100</xdr:rowOff>
    </xdr:to>
    <xdr:pic>
      <xdr:nvPicPr>
        <xdr:cNvPr id="2" name="Picture 27">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5514975" cy="7924800"/>
        </a:xfrm>
        <a:prstGeom prst="rect">
          <a:avLst/>
        </a:prstGeom>
        <a:noFill/>
        <a:ln w="3810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180975</xdr:colOff>
      <xdr:row>15</xdr:row>
      <xdr:rowOff>95250</xdr:rowOff>
    </xdr:from>
    <xdr:to>
      <xdr:col>10</xdr:col>
      <xdr:colOff>19050</xdr:colOff>
      <xdr:row>15</xdr:row>
      <xdr:rowOff>95250</xdr:rowOff>
    </xdr:to>
    <xdr:sp macro="" textlink="">
      <xdr:nvSpPr>
        <xdr:cNvPr id="3" name="Line 9">
          <a:extLst>
            <a:ext uri="{FF2B5EF4-FFF2-40B4-BE49-F238E27FC236}">
              <a16:creationId xmlns:a16="http://schemas.microsoft.com/office/drawing/2014/main" id="{00000000-0008-0000-0900-000003000000}"/>
            </a:ext>
          </a:extLst>
        </xdr:cNvPr>
        <xdr:cNvSpPr>
          <a:spLocks noChangeShapeType="1"/>
        </xdr:cNvSpPr>
      </xdr:nvSpPr>
      <xdr:spPr bwMode="auto">
        <a:xfrm>
          <a:off x="5667375" y="2828925"/>
          <a:ext cx="485775" cy="0"/>
        </a:xfrm>
        <a:prstGeom prst="line">
          <a:avLst/>
        </a:prstGeom>
        <a:noFill/>
        <a:ln w="571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10</xdr:col>
      <xdr:colOff>28575</xdr:colOff>
      <xdr:row>34</xdr:row>
      <xdr:rowOff>123825</xdr:rowOff>
    </xdr:from>
    <xdr:to>
      <xdr:col>18</xdr:col>
      <xdr:colOff>28575</xdr:colOff>
      <xdr:row>43</xdr:row>
      <xdr:rowOff>104775</xdr:rowOff>
    </xdr:to>
    <xdr:pic>
      <xdr:nvPicPr>
        <xdr:cNvPr id="4" name="Picture 28">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764"/>
        <a:stretch>
          <a:fillRect/>
        </a:stretch>
      </xdr:blipFill>
      <xdr:spPr bwMode="auto">
        <a:xfrm>
          <a:off x="6162675" y="6219825"/>
          <a:ext cx="6705600" cy="2857500"/>
        </a:xfrm>
        <a:prstGeom prst="rect">
          <a:avLst/>
        </a:prstGeom>
        <a:noFill/>
        <a:ln w="38100">
          <a:solidFill>
            <a:srgbClr xmlns:mc="http://schemas.openxmlformats.org/markup-compatibility/2006" xmlns:a14="http://schemas.microsoft.com/office/drawing/2010/main" val="00CCFF" mc:Ignorable="a14" a14:legacySpreadsheetColorIndex="4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57150</xdr:colOff>
      <xdr:row>0</xdr:row>
      <xdr:rowOff>57150</xdr:rowOff>
    </xdr:from>
    <xdr:to>
      <xdr:col>9</xdr:col>
      <xdr:colOff>85725</xdr:colOff>
      <xdr:row>40</xdr:row>
      <xdr:rowOff>38100</xdr:rowOff>
    </xdr:to>
    <xdr:pic>
      <xdr:nvPicPr>
        <xdr:cNvPr id="2" name="Picture 27">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 y="57150"/>
          <a:ext cx="5514975" cy="7924800"/>
        </a:xfrm>
        <a:prstGeom prst="rect">
          <a:avLst/>
        </a:prstGeom>
        <a:noFill/>
        <a:ln w="3810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180975</xdr:colOff>
      <xdr:row>15</xdr:row>
      <xdr:rowOff>95250</xdr:rowOff>
    </xdr:from>
    <xdr:to>
      <xdr:col>10</xdr:col>
      <xdr:colOff>19050</xdr:colOff>
      <xdr:row>15</xdr:row>
      <xdr:rowOff>95250</xdr:rowOff>
    </xdr:to>
    <xdr:sp macro="" textlink="">
      <xdr:nvSpPr>
        <xdr:cNvPr id="3" name="Line 9">
          <a:extLst>
            <a:ext uri="{FF2B5EF4-FFF2-40B4-BE49-F238E27FC236}">
              <a16:creationId xmlns:a16="http://schemas.microsoft.com/office/drawing/2014/main" id="{00000000-0008-0000-0A00-000003000000}"/>
            </a:ext>
          </a:extLst>
        </xdr:cNvPr>
        <xdr:cNvSpPr>
          <a:spLocks noChangeShapeType="1"/>
        </xdr:cNvSpPr>
      </xdr:nvSpPr>
      <xdr:spPr bwMode="auto">
        <a:xfrm>
          <a:off x="5667375" y="2828925"/>
          <a:ext cx="485775" cy="0"/>
        </a:xfrm>
        <a:prstGeom prst="line">
          <a:avLst/>
        </a:prstGeom>
        <a:noFill/>
        <a:ln w="57150">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10</xdr:col>
      <xdr:colOff>28575</xdr:colOff>
      <xdr:row>34</xdr:row>
      <xdr:rowOff>123825</xdr:rowOff>
    </xdr:from>
    <xdr:to>
      <xdr:col>18</xdr:col>
      <xdr:colOff>28575</xdr:colOff>
      <xdr:row>43</xdr:row>
      <xdr:rowOff>104775</xdr:rowOff>
    </xdr:to>
    <xdr:pic>
      <xdr:nvPicPr>
        <xdr:cNvPr id="4" name="Picture 28">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r="764"/>
        <a:stretch>
          <a:fillRect/>
        </a:stretch>
      </xdr:blipFill>
      <xdr:spPr bwMode="auto">
        <a:xfrm>
          <a:off x="6162675" y="6219825"/>
          <a:ext cx="6705600" cy="2857500"/>
        </a:xfrm>
        <a:prstGeom prst="rect">
          <a:avLst/>
        </a:prstGeom>
        <a:noFill/>
        <a:ln w="38100">
          <a:solidFill>
            <a:srgbClr xmlns:mc="http://schemas.openxmlformats.org/markup-compatibility/2006" xmlns:a14="http://schemas.microsoft.com/office/drawing/2010/main" val="00CCFF" mc:Ignorable="a14" a14:legacySpreadsheetColorIndex="4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AF48F-EF46-48C0-A45C-898353DBED8F}">
  <dimension ref="A2:K11"/>
  <sheetViews>
    <sheetView topLeftCell="A4" workbookViewId="0">
      <selection activeCell="E10" sqref="E10"/>
    </sheetView>
  </sheetViews>
  <sheetFormatPr defaultRowHeight="12.5"/>
  <cols>
    <col min="1" max="1" width="25.08984375" customWidth="1"/>
    <col min="2" max="2" width="26" customWidth="1"/>
    <col min="8" max="8" width="27" customWidth="1"/>
    <col min="9" max="9" width="24.90625" customWidth="1"/>
    <col min="11" max="11" width="21.36328125" customWidth="1"/>
  </cols>
  <sheetData>
    <row r="2" spans="1:11">
      <c r="A2" t="s">
        <v>1058</v>
      </c>
      <c r="B2" s="664"/>
    </row>
    <row r="3" spans="1:11" ht="37.5">
      <c r="A3" t="s">
        <v>1059</v>
      </c>
      <c r="B3" s="665" t="s">
        <v>1070</v>
      </c>
    </row>
    <row r="6" spans="1:11">
      <c r="A6" t="s">
        <v>1060</v>
      </c>
    </row>
    <row r="7" spans="1:11" ht="50">
      <c r="A7" t="s">
        <v>1061</v>
      </c>
      <c r="B7" s="665" t="s">
        <v>1071</v>
      </c>
      <c r="G7" t="s">
        <v>1065</v>
      </c>
    </row>
    <row r="8" spans="1:11" ht="25">
      <c r="A8" t="s">
        <v>1063</v>
      </c>
      <c r="B8" s="666" t="s">
        <v>1062</v>
      </c>
    </row>
    <row r="9" spans="1:11" ht="25">
      <c r="A9" t="s">
        <v>1064</v>
      </c>
      <c r="B9" s="666" t="s">
        <v>1062</v>
      </c>
      <c r="H9" s="293">
        <v>2</v>
      </c>
      <c r="I9" s="293" t="s">
        <v>237</v>
      </c>
      <c r="J9" s="293" t="s">
        <v>1066</v>
      </c>
      <c r="K9" s="293">
        <v>2</v>
      </c>
    </row>
    <row r="10" spans="1:11" ht="25">
      <c r="A10" t="s">
        <v>1072</v>
      </c>
      <c r="B10" s="665" t="s">
        <v>1062</v>
      </c>
    </row>
    <row r="11" spans="1:11" ht="137.5">
      <c r="H11" s="663" t="s">
        <v>1067</v>
      </c>
      <c r="I11" s="663" t="s">
        <v>1068</v>
      </c>
      <c r="K11" s="663" t="s">
        <v>1069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4CD40-114B-4099-8D96-BE320C8BEE27}">
  <dimension ref="A2:AA185"/>
  <sheetViews>
    <sheetView tabSelected="1" workbookViewId="0"/>
  </sheetViews>
  <sheetFormatPr defaultRowHeight="12.5"/>
  <sheetData>
    <row r="2" spans="1:12">
      <c r="C2" t="s">
        <v>98</v>
      </c>
      <c r="D2" s="873">
        <v>44370.484340277777</v>
      </c>
      <c r="F2" t="s">
        <v>1010</v>
      </c>
      <c r="L2" t="s">
        <v>1027</v>
      </c>
    </row>
    <row r="4" spans="1:12">
      <c r="A4" t="s">
        <v>61</v>
      </c>
    </row>
    <row r="5" spans="1:12">
      <c r="A5" t="s">
        <v>60</v>
      </c>
    </row>
    <row r="7" spans="1:12">
      <c r="A7" t="s">
        <v>62</v>
      </c>
    </row>
    <row r="9" spans="1:12">
      <c r="A9" t="s">
        <v>52</v>
      </c>
    </row>
    <row r="10" spans="1:12">
      <c r="K10" t="s">
        <v>56</v>
      </c>
    </row>
    <row r="11" spans="1:12">
      <c r="A11" t="s">
        <v>82</v>
      </c>
      <c r="B11">
        <v>1</v>
      </c>
      <c r="L11" t="s">
        <v>111</v>
      </c>
    </row>
    <row r="12" spans="1:12">
      <c r="E12" t="s">
        <v>346</v>
      </c>
      <c r="F12" t="s">
        <v>347</v>
      </c>
      <c r="G12" t="s">
        <v>348</v>
      </c>
      <c r="L12" t="s">
        <v>112</v>
      </c>
    </row>
    <row r="13" spans="1:12">
      <c r="A13" t="s">
        <v>123</v>
      </c>
      <c r="D13" t="s">
        <v>57</v>
      </c>
      <c r="L13" t="s">
        <v>113</v>
      </c>
    </row>
    <row r="14" spans="1:12">
      <c r="D14" t="s">
        <v>321</v>
      </c>
      <c r="L14" t="s">
        <v>109</v>
      </c>
    </row>
    <row r="15" spans="1:12">
      <c r="D15" t="s">
        <v>53</v>
      </c>
      <c r="H15" t="s">
        <v>784</v>
      </c>
    </row>
    <row r="16" spans="1:12">
      <c r="D16" t="s">
        <v>55</v>
      </c>
      <c r="E16">
        <v>500</v>
      </c>
    </row>
    <row r="17" spans="1:13">
      <c r="D17" t="s">
        <v>54</v>
      </c>
      <c r="H17">
        <v>2</v>
      </c>
    </row>
    <row r="18" spans="1:13">
      <c r="D18" t="s">
        <v>57</v>
      </c>
      <c r="E18">
        <v>5559.0277777777774</v>
      </c>
      <c r="F18">
        <v>0</v>
      </c>
      <c r="G18">
        <v>0</v>
      </c>
    </row>
    <row r="19" spans="1:13">
      <c r="A19" t="s">
        <v>127</v>
      </c>
      <c r="D19" t="s">
        <v>138</v>
      </c>
      <c r="E19">
        <v>1</v>
      </c>
    </row>
    <row r="20" spans="1:13">
      <c r="D20" t="s">
        <v>139</v>
      </c>
    </row>
    <row r="21" spans="1:13">
      <c r="D21" t="s">
        <v>654</v>
      </c>
    </row>
    <row r="22" spans="1:13">
      <c r="D22" t="s">
        <v>138</v>
      </c>
      <c r="E22">
        <v>1</v>
      </c>
      <c r="F22">
        <v>0</v>
      </c>
      <c r="G22">
        <v>0</v>
      </c>
      <c r="H22" t="s">
        <v>711</v>
      </c>
    </row>
    <row r="23" spans="1:13">
      <c r="A23" t="s">
        <v>135</v>
      </c>
      <c r="D23" t="s">
        <v>138</v>
      </c>
      <c r="E23">
        <v>5</v>
      </c>
    </row>
    <row r="24" spans="1:13">
      <c r="D24" t="s">
        <v>139</v>
      </c>
      <c r="J24" t="s">
        <v>86</v>
      </c>
    </row>
    <row r="25" spans="1:13">
      <c r="D25" t="s">
        <v>654</v>
      </c>
    </row>
    <row r="26" spans="1:13">
      <c r="D26" t="s">
        <v>138</v>
      </c>
      <c r="E26">
        <v>5</v>
      </c>
      <c r="F26">
        <v>0</v>
      </c>
      <c r="G26">
        <v>0</v>
      </c>
    </row>
    <row r="27" spans="1:13">
      <c r="A27" t="s">
        <v>136</v>
      </c>
      <c r="D27" t="s">
        <v>140</v>
      </c>
      <c r="E27">
        <v>35</v>
      </c>
      <c r="J27" t="s">
        <v>1054</v>
      </c>
      <c r="M27" t="s">
        <v>1050</v>
      </c>
    </row>
    <row r="28" spans="1:13">
      <c r="D28" t="s">
        <v>141</v>
      </c>
    </row>
    <row r="29" spans="1:13">
      <c r="D29" t="s">
        <v>140</v>
      </c>
      <c r="E29">
        <v>35</v>
      </c>
      <c r="F29">
        <v>0</v>
      </c>
      <c r="G29">
        <v>0</v>
      </c>
    </row>
    <row r="30" spans="1:13">
      <c r="A30" t="s">
        <v>137</v>
      </c>
      <c r="D30" t="s">
        <v>140</v>
      </c>
      <c r="J30" t="s">
        <v>290</v>
      </c>
    </row>
    <row r="31" spans="1:13">
      <c r="D31" t="s">
        <v>141</v>
      </c>
      <c r="J31" t="s">
        <v>1055</v>
      </c>
    </row>
    <row r="32" spans="1:13">
      <c r="D32" t="s">
        <v>140</v>
      </c>
      <c r="E32">
        <v>0</v>
      </c>
      <c r="F32">
        <v>0</v>
      </c>
      <c r="G32">
        <v>0</v>
      </c>
    </row>
    <row r="33" spans="1:10">
      <c r="A33" t="s">
        <v>74</v>
      </c>
    </row>
    <row r="35" spans="1:10">
      <c r="A35" t="s">
        <v>66</v>
      </c>
      <c r="E35">
        <v>2</v>
      </c>
      <c r="F35">
        <v>3</v>
      </c>
      <c r="G35">
        <v>3</v>
      </c>
    </row>
    <row r="36" spans="1:10">
      <c r="A36" t="s">
        <v>177</v>
      </c>
      <c r="E36">
        <v>1</v>
      </c>
    </row>
    <row r="37" spans="1:10">
      <c r="A37" t="s">
        <v>1011</v>
      </c>
      <c r="B37">
        <v>82</v>
      </c>
    </row>
    <row r="38" spans="1:10">
      <c r="A38" t="s">
        <v>75</v>
      </c>
      <c r="B38">
        <v>1</v>
      </c>
      <c r="E38" t="s">
        <v>329</v>
      </c>
    </row>
    <row r="39" spans="1:10">
      <c r="E39" t="s">
        <v>99</v>
      </c>
      <c r="G39" t="s">
        <v>110</v>
      </c>
      <c r="H39" t="s">
        <v>1020</v>
      </c>
      <c r="I39" t="s">
        <v>1045</v>
      </c>
      <c r="J39" t="s">
        <v>1046</v>
      </c>
    </row>
    <row r="40" spans="1:10" ht="62.5">
      <c r="A40" t="s">
        <v>332</v>
      </c>
      <c r="D40" s="663" t="s">
        <v>1073</v>
      </c>
      <c r="G40" s="663" t="s">
        <v>1074</v>
      </c>
    </row>
    <row r="41" spans="1:10">
      <c r="A41" t="s">
        <v>715</v>
      </c>
      <c r="C41" t="s">
        <v>293</v>
      </c>
      <c r="D41" t="s">
        <v>4</v>
      </c>
      <c r="E41" t="s">
        <v>5</v>
      </c>
      <c r="F41" t="s">
        <v>5</v>
      </c>
      <c r="G41" t="s">
        <v>5</v>
      </c>
    </row>
    <row r="42" spans="1:10">
      <c r="A42" t="s">
        <v>6</v>
      </c>
      <c r="C42" t="s">
        <v>7</v>
      </c>
      <c r="D42">
        <v>2.016</v>
      </c>
      <c r="E42">
        <v>100</v>
      </c>
    </row>
    <row r="43" spans="1:10">
      <c r="A43" t="s">
        <v>143</v>
      </c>
      <c r="C43" t="s">
        <v>9</v>
      </c>
      <c r="D43">
        <v>32</v>
      </c>
    </row>
    <row r="44" spans="1:10">
      <c r="A44" t="s">
        <v>10</v>
      </c>
      <c r="C44" t="s">
        <v>11</v>
      </c>
      <c r="D44">
        <v>28.015999999999998</v>
      </c>
    </row>
    <row r="45" spans="1:10">
      <c r="A45" t="s">
        <v>144</v>
      </c>
      <c r="C45" t="s">
        <v>13</v>
      </c>
      <c r="D45">
        <v>28.01</v>
      </c>
    </row>
    <row r="46" spans="1:10">
      <c r="A46" t="s">
        <v>145</v>
      </c>
      <c r="C46" t="s">
        <v>15</v>
      </c>
      <c r="D46">
        <v>44.01</v>
      </c>
    </row>
    <row r="47" spans="1:10">
      <c r="A47" t="s">
        <v>1044</v>
      </c>
      <c r="C47" t="s">
        <v>17</v>
      </c>
      <c r="D47">
        <v>18.015999999999998</v>
      </c>
    </row>
    <row r="48" spans="1:10">
      <c r="A48" t="s">
        <v>18</v>
      </c>
      <c r="C48" t="s">
        <v>19</v>
      </c>
      <c r="D48">
        <v>17.032</v>
      </c>
    </row>
    <row r="49" spans="1:4">
      <c r="A49" t="s">
        <v>20</v>
      </c>
      <c r="C49" t="s">
        <v>21</v>
      </c>
      <c r="D49">
        <v>64.06</v>
      </c>
    </row>
    <row r="50" spans="1:4">
      <c r="A50" t="s">
        <v>68</v>
      </c>
      <c r="C50" t="s">
        <v>22</v>
      </c>
      <c r="D50">
        <v>34.076000000000001</v>
      </c>
    </row>
    <row r="51" spans="1:4">
      <c r="A51" t="s">
        <v>23</v>
      </c>
      <c r="D51">
        <v>28.966000000000001</v>
      </c>
    </row>
    <row r="52" spans="1:4">
      <c r="A52" t="s">
        <v>24</v>
      </c>
      <c r="C52" t="s">
        <v>25</v>
      </c>
      <c r="D52">
        <v>16.042000000000002</v>
      </c>
    </row>
    <row r="53" spans="1:4">
      <c r="A53" t="s">
        <v>146</v>
      </c>
      <c r="C53" t="s">
        <v>27</v>
      </c>
      <c r="D53">
        <v>26.036000000000001</v>
      </c>
    </row>
    <row r="54" spans="1:4">
      <c r="A54" t="s">
        <v>28</v>
      </c>
      <c r="C54" t="s">
        <v>29</v>
      </c>
      <c r="D54">
        <v>28.052</v>
      </c>
    </row>
    <row r="55" spans="1:4">
      <c r="A55" t="s">
        <v>30</v>
      </c>
      <c r="C55" t="s">
        <v>31</v>
      </c>
      <c r="D55">
        <v>30.068000000000001</v>
      </c>
    </row>
    <row r="56" spans="1:4">
      <c r="A56" t="s">
        <v>32</v>
      </c>
      <c r="C56" t="s">
        <v>33</v>
      </c>
      <c r="D56">
        <v>42.078000000000003</v>
      </c>
    </row>
    <row r="57" spans="1:4">
      <c r="A57" t="s">
        <v>34</v>
      </c>
      <c r="C57" t="s">
        <v>35</v>
      </c>
      <c r="D57">
        <v>44.094000000000001</v>
      </c>
    </row>
    <row r="58" spans="1:4">
      <c r="A58" t="s">
        <v>1033</v>
      </c>
      <c r="C58" t="s">
        <v>462</v>
      </c>
      <c r="D58">
        <v>56.107999999999997</v>
      </c>
    </row>
    <row r="59" spans="1:4">
      <c r="A59" t="s">
        <v>1039</v>
      </c>
      <c r="C59" t="s">
        <v>36</v>
      </c>
      <c r="D59">
        <v>56.103999999999999</v>
      </c>
    </row>
    <row r="60" spans="1:4">
      <c r="A60" t="s">
        <v>40</v>
      </c>
      <c r="C60" t="s">
        <v>39</v>
      </c>
      <c r="D60">
        <v>58.12</v>
      </c>
    </row>
    <row r="61" spans="1:4">
      <c r="A61" t="s">
        <v>147</v>
      </c>
      <c r="C61" t="s">
        <v>39</v>
      </c>
      <c r="D61">
        <v>58.12</v>
      </c>
    </row>
    <row r="62" spans="1:4">
      <c r="A62" t="s">
        <v>43</v>
      </c>
      <c r="C62" t="s">
        <v>42</v>
      </c>
      <c r="D62">
        <v>72.146000000000001</v>
      </c>
    </row>
    <row r="63" spans="1:4">
      <c r="A63" t="s">
        <v>148</v>
      </c>
      <c r="C63" t="s">
        <v>42</v>
      </c>
      <c r="D63">
        <v>72.146000000000001</v>
      </c>
    </row>
    <row r="64" spans="1:4">
      <c r="A64" t="s">
        <v>461</v>
      </c>
      <c r="C64" t="s">
        <v>463</v>
      </c>
      <c r="D64">
        <v>70.134</v>
      </c>
    </row>
    <row r="65" spans="1:4">
      <c r="A65" t="s">
        <v>1042</v>
      </c>
      <c r="C65" t="s">
        <v>42</v>
      </c>
      <c r="D65">
        <v>72.146000000000001</v>
      </c>
    </row>
    <row r="66" spans="1:4">
      <c r="A66" t="s">
        <v>45</v>
      </c>
      <c r="C66" t="s">
        <v>46</v>
      </c>
      <c r="D66">
        <v>78.108000000000004</v>
      </c>
    </row>
    <row r="67" spans="1:4">
      <c r="A67" t="s">
        <v>150</v>
      </c>
      <c r="C67" t="s">
        <v>48</v>
      </c>
      <c r="D67">
        <v>86.171999999999997</v>
      </c>
    </row>
    <row r="68" spans="1:4">
      <c r="A68" t="s">
        <v>460</v>
      </c>
      <c r="C68" t="s">
        <v>465</v>
      </c>
      <c r="D68">
        <v>84.162000000000006</v>
      </c>
    </row>
    <row r="69" spans="1:4">
      <c r="A69" t="s">
        <v>149</v>
      </c>
      <c r="C69" t="s">
        <v>50</v>
      </c>
      <c r="D69">
        <v>100.19799999999999</v>
      </c>
    </row>
    <row r="70" spans="1:4">
      <c r="A70" t="s">
        <v>333</v>
      </c>
      <c r="C70" t="s">
        <v>334</v>
      </c>
      <c r="D70">
        <v>114.232</v>
      </c>
    </row>
    <row r="71" spans="1:4">
      <c r="A71" t="s">
        <v>335</v>
      </c>
      <c r="C71" t="s">
        <v>339</v>
      </c>
      <c r="D71">
        <v>128.25899999999999</v>
      </c>
    </row>
    <row r="72" spans="1:4">
      <c r="A72" t="s">
        <v>336</v>
      </c>
      <c r="C72" t="s">
        <v>340</v>
      </c>
      <c r="D72">
        <v>142.286</v>
      </c>
    </row>
    <row r="73" spans="1:4">
      <c r="A73" t="s">
        <v>337</v>
      </c>
      <c r="C73" t="s">
        <v>341</v>
      </c>
      <c r="D73">
        <v>156.31299999999999</v>
      </c>
    </row>
    <row r="74" spans="1:4">
      <c r="A74" t="s">
        <v>338</v>
      </c>
      <c r="C74" t="s">
        <v>342</v>
      </c>
      <c r="D74">
        <v>170.34</v>
      </c>
    </row>
    <row r="75" spans="1:4">
      <c r="A75" t="s">
        <v>607</v>
      </c>
      <c r="B75">
        <v>1</v>
      </c>
    </row>
    <row r="76" spans="1:4">
      <c r="A76" t="s">
        <v>1032</v>
      </c>
      <c r="C76" t="s">
        <v>467</v>
      </c>
      <c r="D76">
        <v>54.091999999999999</v>
      </c>
    </row>
    <row r="77" spans="1:4">
      <c r="A77" t="s">
        <v>471</v>
      </c>
      <c r="C77" t="s">
        <v>469</v>
      </c>
      <c r="D77">
        <v>98.96</v>
      </c>
    </row>
    <row r="78" spans="1:4">
      <c r="A78" t="s">
        <v>470</v>
      </c>
      <c r="C78" t="s">
        <v>472</v>
      </c>
      <c r="D78">
        <v>54.091999999999999</v>
      </c>
    </row>
    <row r="79" spans="1:4">
      <c r="A79" t="s">
        <v>473</v>
      </c>
      <c r="C79" t="s">
        <v>474</v>
      </c>
      <c r="D79">
        <v>98.188999999999993</v>
      </c>
    </row>
    <row r="80" spans="1:4">
      <c r="A80" t="s">
        <v>475</v>
      </c>
      <c r="C80" t="s">
        <v>476</v>
      </c>
      <c r="D80">
        <v>84.162000000000006</v>
      </c>
    </row>
    <row r="81" spans="1:4">
      <c r="A81" t="s">
        <v>477</v>
      </c>
      <c r="C81" t="s">
        <v>478</v>
      </c>
      <c r="D81">
        <v>70.135000000000005</v>
      </c>
    </row>
    <row r="82" spans="1:4">
      <c r="A82" t="s">
        <v>1034</v>
      </c>
      <c r="C82" t="s">
        <v>480</v>
      </c>
      <c r="D82">
        <v>86.177999999999997</v>
      </c>
    </row>
    <row r="83" spans="1:4">
      <c r="A83" t="s">
        <v>1035</v>
      </c>
      <c r="C83" t="s">
        <v>482</v>
      </c>
      <c r="D83">
        <v>86.177999999999997</v>
      </c>
    </row>
    <row r="84" spans="1:4">
      <c r="A84" t="s">
        <v>1036</v>
      </c>
      <c r="C84" t="s">
        <v>484</v>
      </c>
      <c r="D84">
        <v>70.135000000000005</v>
      </c>
    </row>
    <row r="85" spans="1:4">
      <c r="A85" t="s">
        <v>1037</v>
      </c>
      <c r="C85" t="s">
        <v>486</v>
      </c>
      <c r="D85">
        <v>70.135000000000005</v>
      </c>
    </row>
    <row r="86" spans="1:4">
      <c r="A86" t="s">
        <v>487</v>
      </c>
      <c r="C86" t="s">
        <v>488</v>
      </c>
      <c r="D86">
        <v>86.177999999999997</v>
      </c>
    </row>
    <row r="87" spans="1:4">
      <c r="A87" t="s">
        <v>1038</v>
      </c>
      <c r="C87" t="s">
        <v>490</v>
      </c>
      <c r="D87">
        <v>70.135000000000005</v>
      </c>
    </row>
    <row r="88" spans="1:4">
      <c r="A88" t="s">
        <v>491</v>
      </c>
      <c r="C88" t="s">
        <v>492</v>
      </c>
      <c r="D88">
        <v>86.177999999999997</v>
      </c>
    </row>
    <row r="89" spans="1:4">
      <c r="A89" t="s">
        <v>493</v>
      </c>
      <c r="C89" t="s">
        <v>494</v>
      </c>
      <c r="D89">
        <v>84.162000000000006</v>
      </c>
    </row>
    <row r="90" spans="1:4">
      <c r="A90" t="s">
        <v>495</v>
      </c>
      <c r="C90" t="s">
        <v>496</v>
      </c>
      <c r="D90">
        <v>72.063999999999993</v>
      </c>
    </row>
    <row r="91" spans="1:4">
      <c r="A91" t="s">
        <v>497</v>
      </c>
      <c r="C91" t="s">
        <v>498</v>
      </c>
      <c r="D91">
        <v>39.948</v>
      </c>
    </row>
    <row r="92" spans="1:4">
      <c r="A92" t="s">
        <v>499</v>
      </c>
      <c r="C92" t="s">
        <v>500</v>
      </c>
      <c r="D92">
        <v>60.07</v>
      </c>
    </row>
    <row r="93" spans="1:4">
      <c r="A93" t="s">
        <v>501</v>
      </c>
      <c r="C93" t="s">
        <v>502</v>
      </c>
      <c r="D93">
        <v>70.906000000000006</v>
      </c>
    </row>
    <row r="94" spans="1:4">
      <c r="A94" t="s">
        <v>503</v>
      </c>
      <c r="C94" t="s">
        <v>504</v>
      </c>
      <c r="D94">
        <v>56.107999999999997</v>
      </c>
    </row>
    <row r="95" spans="1:4">
      <c r="A95" t="s">
        <v>505</v>
      </c>
      <c r="C95" t="s">
        <v>506</v>
      </c>
      <c r="D95">
        <v>70.135000000000005</v>
      </c>
    </row>
    <row r="96" spans="1:4">
      <c r="A96" t="s">
        <v>507</v>
      </c>
      <c r="C96" t="s">
        <v>508</v>
      </c>
      <c r="D96">
        <v>84.933000000000007</v>
      </c>
    </row>
    <row r="97" spans="1:4">
      <c r="A97" t="s">
        <v>509</v>
      </c>
      <c r="C97" t="s">
        <v>510</v>
      </c>
      <c r="D97">
        <v>90.183999999999997</v>
      </c>
    </row>
    <row r="98" spans="1:4">
      <c r="A98" t="s">
        <v>511</v>
      </c>
      <c r="C98" t="s">
        <v>512</v>
      </c>
      <c r="D98">
        <v>52.024000000000001</v>
      </c>
    </row>
    <row r="99" spans="1:4">
      <c r="A99" t="s">
        <v>1043</v>
      </c>
      <c r="C99" t="s">
        <v>514</v>
      </c>
      <c r="D99">
        <v>112.98699999999999</v>
      </c>
    </row>
    <row r="100" spans="1:4">
      <c r="A100" t="s">
        <v>515</v>
      </c>
      <c r="C100" t="s">
        <v>516</v>
      </c>
      <c r="D100">
        <v>46.069000000000003</v>
      </c>
    </row>
    <row r="101" spans="1:4">
      <c r="A101" t="s">
        <v>517</v>
      </c>
      <c r="C101" t="s">
        <v>518</v>
      </c>
      <c r="D101">
        <v>100.11799999999999</v>
      </c>
    </row>
    <row r="102" spans="1:4">
      <c r="A102" t="s">
        <v>519</v>
      </c>
      <c r="C102" t="s">
        <v>520</v>
      </c>
      <c r="D102">
        <v>106.16800000000001</v>
      </c>
    </row>
    <row r="103" spans="1:4">
      <c r="A103" t="s">
        <v>521</v>
      </c>
      <c r="C103" t="s">
        <v>522</v>
      </c>
      <c r="D103">
        <v>44.052999999999997</v>
      </c>
    </row>
    <row r="104" spans="1:4">
      <c r="A104" t="s">
        <v>523</v>
      </c>
      <c r="C104" t="s">
        <v>524</v>
      </c>
      <c r="D104">
        <v>62.134</v>
      </c>
    </row>
    <row r="105" spans="1:4">
      <c r="A105" t="s">
        <v>525</v>
      </c>
      <c r="C105" t="s">
        <v>526</v>
      </c>
      <c r="D105">
        <v>170.922</v>
      </c>
    </row>
    <row r="106" spans="1:4">
      <c r="A106" t="s">
        <v>527</v>
      </c>
      <c r="C106" t="s">
        <v>528</v>
      </c>
      <c r="D106">
        <v>120.914</v>
      </c>
    </row>
    <row r="107" spans="1:4">
      <c r="A107" t="s">
        <v>529</v>
      </c>
      <c r="C107" t="s">
        <v>530</v>
      </c>
      <c r="D107">
        <v>104.459</v>
      </c>
    </row>
    <row r="108" spans="1:4">
      <c r="A108" t="s">
        <v>531</v>
      </c>
      <c r="C108" t="s">
        <v>532</v>
      </c>
      <c r="D108">
        <v>86.468999999999994</v>
      </c>
    </row>
    <row r="109" spans="1:4">
      <c r="A109" t="s">
        <v>533</v>
      </c>
      <c r="C109" t="s">
        <v>237</v>
      </c>
      <c r="D109">
        <v>4.0030000000000001</v>
      </c>
    </row>
    <row r="110" spans="1:4">
      <c r="A110" t="s">
        <v>534</v>
      </c>
      <c r="C110" t="s">
        <v>535</v>
      </c>
      <c r="D110">
        <v>36.460999999999999</v>
      </c>
    </row>
    <row r="111" spans="1:4">
      <c r="A111" t="s">
        <v>1040</v>
      </c>
      <c r="C111" t="s">
        <v>537</v>
      </c>
      <c r="D111">
        <v>78.542000000000002</v>
      </c>
    </row>
    <row r="112" spans="1:4">
      <c r="A112" t="s">
        <v>538</v>
      </c>
      <c r="C112" t="s">
        <v>539</v>
      </c>
      <c r="D112">
        <v>74.123000000000005</v>
      </c>
    </row>
    <row r="113" spans="1:4">
      <c r="A113" t="s">
        <v>540</v>
      </c>
      <c r="C113" t="s">
        <v>494</v>
      </c>
      <c r="D113">
        <v>84.162000000000006</v>
      </c>
    </row>
    <row r="114" spans="1:4">
      <c r="A114" t="s">
        <v>541</v>
      </c>
      <c r="C114" t="s">
        <v>542</v>
      </c>
      <c r="D114">
        <v>60.095999999999997</v>
      </c>
    </row>
    <row r="115" spans="1:4">
      <c r="A115" t="s">
        <v>543</v>
      </c>
      <c r="C115" t="s">
        <v>544</v>
      </c>
      <c r="D115">
        <v>32.042000000000002</v>
      </c>
    </row>
    <row r="116" spans="1:4">
      <c r="A116" t="s">
        <v>545</v>
      </c>
      <c r="C116" t="s">
        <v>546</v>
      </c>
      <c r="D116">
        <v>86.090999999999994</v>
      </c>
    </row>
    <row r="117" spans="1:4">
      <c r="A117" t="s">
        <v>547</v>
      </c>
      <c r="C117" t="s">
        <v>548</v>
      </c>
      <c r="D117">
        <v>50.488</v>
      </c>
    </row>
    <row r="118" spans="1:4">
      <c r="A118" t="s">
        <v>549</v>
      </c>
      <c r="C118" t="s">
        <v>550</v>
      </c>
      <c r="D118">
        <v>74.08</v>
      </c>
    </row>
    <row r="119" spans="1:4">
      <c r="A119" t="s">
        <v>551</v>
      </c>
      <c r="C119" t="s">
        <v>552</v>
      </c>
      <c r="D119">
        <v>40.064999999999998</v>
      </c>
    </row>
    <row r="120" spans="1:4">
      <c r="A120" t="s">
        <v>1041</v>
      </c>
      <c r="C120" t="s">
        <v>554</v>
      </c>
      <c r="D120">
        <v>72.106999999999999</v>
      </c>
    </row>
    <row r="121" spans="1:4">
      <c r="A121" t="s">
        <v>555</v>
      </c>
      <c r="C121" t="s">
        <v>556</v>
      </c>
      <c r="D121">
        <v>76.156999999999996</v>
      </c>
    </row>
    <row r="122" spans="1:4">
      <c r="A122" t="s">
        <v>557</v>
      </c>
      <c r="C122" t="s">
        <v>558</v>
      </c>
      <c r="D122">
        <v>48.106999999999999</v>
      </c>
    </row>
    <row r="123" spans="1:4">
      <c r="A123" t="s">
        <v>559</v>
      </c>
      <c r="C123" t="s">
        <v>560</v>
      </c>
      <c r="D123">
        <v>106.16800000000001</v>
      </c>
    </row>
    <row r="124" spans="1:4">
      <c r="A124" t="s">
        <v>561</v>
      </c>
      <c r="C124" t="s">
        <v>562</v>
      </c>
      <c r="D124">
        <v>74.123000000000005</v>
      </c>
    </row>
    <row r="125" spans="1:4">
      <c r="A125" t="s">
        <v>563</v>
      </c>
      <c r="C125" t="s">
        <v>564</v>
      </c>
      <c r="D125">
        <v>30.006</v>
      </c>
    </row>
    <row r="126" spans="1:4">
      <c r="A126" t="s">
        <v>565</v>
      </c>
      <c r="C126" t="s">
        <v>566</v>
      </c>
      <c r="D126">
        <v>46.006</v>
      </c>
    </row>
    <row r="127" spans="1:4">
      <c r="A127" t="s">
        <v>567</v>
      </c>
      <c r="C127" t="s">
        <v>568</v>
      </c>
      <c r="D127">
        <v>92.010999999999996</v>
      </c>
    </row>
    <row r="128" spans="1:4">
      <c r="A128" t="s">
        <v>569</v>
      </c>
      <c r="C128" t="s">
        <v>570</v>
      </c>
      <c r="D128">
        <v>184.36699999999999</v>
      </c>
    </row>
    <row r="129" spans="1:4">
      <c r="A129" t="s">
        <v>571</v>
      </c>
      <c r="C129" t="s">
        <v>572</v>
      </c>
      <c r="D129">
        <v>106.16800000000001</v>
      </c>
    </row>
    <row r="130" spans="1:4">
      <c r="A130" t="s">
        <v>573</v>
      </c>
      <c r="C130" t="s">
        <v>574</v>
      </c>
      <c r="D130">
        <v>120.02200000000001</v>
      </c>
    </row>
    <row r="131" spans="1:4">
      <c r="A131" t="s">
        <v>575</v>
      </c>
      <c r="C131" t="s">
        <v>576</v>
      </c>
      <c r="D131">
        <v>40.064999999999998</v>
      </c>
    </row>
    <row r="132" spans="1:4">
      <c r="A132" t="s">
        <v>577</v>
      </c>
      <c r="C132" t="s">
        <v>578</v>
      </c>
      <c r="D132">
        <v>60.095999999999997</v>
      </c>
    </row>
    <row r="133" spans="1:4">
      <c r="A133" t="s">
        <v>579</v>
      </c>
      <c r="C133" t="s">
        <v>580</v>
      </c>
      <c r="D133">
        <v>78.542000000000002</v>
      </c>
    </row>
    <row r="134" spans="1:4">
      <c r="A134" t="s">
        <v>513</v>
      </c>
      <c r="C134" t="s">
        <v>514</v>
      </c>
      <c r="D134">
        <v>112.98699999999999</v>
      </c>
    </row>
    <row r="135" spans="1:4">
      <c r="A135" t="s">
        <v>581</v>
      </c>
      <c r="C135" t="s">
        <v>582</v>
      </c>
      <c r="D135">
        <v>58.08</v>
      </c>
    </row>
    <row r="136" spans="1:4">
      <c r="A136" t="s">
        <v>583</v>
      </c>
      <c r="C136" t="s">
        <v>584</v>
      </c>
      <c r="D136">
        <v>106.16800000000001</v>
      </c>
    </row>
    <row r="137" spans="1:4">
      <c r="A137" t="s">
        <v>585</v>
      </c>
      <c r="C137" t="s">
        <v>586</v>
      </c>
      <c r="D137">
        <v>102</v>
      </c>
    </row>
    <row r="138" spans="1:4">
      <c r="A138" t="s">
        <v>587</v>
      </c>
      <c r="C138" t="s">
        <v>588</v>
      </c>
      <c r="D138">
        <v>72.58</v>
      </c>
    </row>
    <row r="139" spans="1:4">
      <c r="A139" t="s">
        <v>589</v>
      </c>
      <c r="C139" t="s">
        <v>590</v>
      </c>
      <c r="D139">
        <v>100.01600000000001</v>
      </c>
    </row>
    <row r="140" spans="1:4">
      <c r="A140" t="s">
        <v>591</v>
      </c>
      <c r="C140" t="s">
        <v>592</v>
      </c>
      <c r="D140">
        <v>92.141000000000005</v>
      </c>
    </row>
    <row r="141" spans="1:4">
      <c r="A141" t="s">
        <v>593</v>
      </c>
      <c r="C141" t="s">
        <v>594</v>
      </c>
      <c r="D141">
        <v>56.107999999999997</v>
      </c>
    </row>
    <row r="142" spans="1:4">
      <c r="A142" t="s">
        <v>595</v>
      </c>
      <c r="C142" t="s">
        <v>596</v>
      </c>
      <c r="D142">
        <v>70.135000000000005</v>
      </c>
    </row>
    <row r="143" spans="1:4">
      <c r="A143" t="s">
        <v>597</v>
      </c>
      <c r="C143" t="s">
        <v>598</v>
      </c>
      <c r="D143">
        <v>86.090999999999994</v>
      </c>
    </row>
    <row r="144" spans="1:4">
      <c r="A144" t="s">
        <v>599</v>
      </c>
      <c r="C144" t="s">
        <v>600</v>
      </c>
      <c r="D144">
        <v>62.499000000000002</v>
      </c>
    </row>
    <row r="147" spans="1:10">
      <c r="C147" t="s">
        <v>51</v>
      </c>
      <c r="E147">
        <v>100</v>
      </c>
      <c r="F147">
        <v>0</v>
      </c>
      <c r="G147">
        <v>0</v>
      </c>
    </row>
    <row r="148" spans="1:10">
      <c r="C148" t="s">
        <v>1</v>
      </c>
      <c r="E148">
        <v>2.016</v>
      </c>
      <c r="F148">
        <v>0</v>
      </c>
      <c r="G148">
        <v>0</v>
      </c>
    </row>
    <row r="150" spans="1:10">
      <c r="A150" t="s">
        <v>142</v>
      </c>
    </row>
    <row r="151" spans="1:10">
      <c r="A151" t="s">
        <v>76</v>
      </c>
      <c r="B151">
        <v>1</v>
      </c>
      <c r="D151" t="s">
        <v>657</v>
      </c>
      <c r="I151" t="s">
        <v>417</v>
      </c>
      <c r="J151">
        <v>1</v>
      </c>
    </row>
    <row r="153" spans="1:10">
      <c r="A153" t="s">
        <v>80</v>
      </c>
      <c r="B153">
        <v>1</v>
      </c>
      <c r="C153">
        <v>2</v>
      </c>
      <c r="D153">
        <v>3</v>
      </c>
      <c r="E153">
        <v>4</v>
      </c>
      <c r="F153">
        <v>5</v>
      </c>
      <c r="G153">
        <v>6</v>
      </c>
      <c r="H153">
        <v>7</v>
      </c>
      <c r="I153">
        <v>8</v>
      </c>
    </row>
    <row r="154" spans="1:10">
      <c r="A154" t="s">
        <v>77</v>
      </c>
      <c r="J154" t="s">
        <v>1026</v>
      </c>
    </row>
    <row r="155" spans="1:10">
      <c r="A155" t="s">
        <v>78</v>
      </c>
    </row>
    <row r="156" spans="1:10">
      <c r="A156" t="s">
        <v>79</v>
      </c>
    </row>
    <row r="159" spans="1:10">
      <c r="A159" t="s">
        <v>81</v>
      </c>
      <c r="B159">
        <v>1</v>
      </c>
      <c r="C159">
        <v>2</v>
      </c>
      <c r="D159">
        <v>3</v>
      </c>
      <c r="E159">
        <v>4</v>
      </c>
      <c r="F159">
        <v>5</v>
      </c>
      <c r="G159">
        <v>6</v>
      </c>
      <c r="H159">
        <v>7</v>
      </c>
      <c r="I159">
        <v>8</v>
      </c>
    </row>
    <row r="160" spans="1:10">
      <c r="A160" t="s">
        <v>77</v>
      </c>
    </row>
    <row r="161" spans="1:9">
      <c r="A161" t="s">
        <v>78</v>
      </c>
    </row>
    <row r="162" spans="1:9">
      <c r="A162" t="s">
        <v>79</v>
      </c>
    </row>
    <row r="165" spans="1:9">
      <c r="A165" t="s">
        <v>345</v>
      </c>
      <c r="B165">
        <v>1</v>
      </c>
      <c r="C165">
        <v>2</v>
      </c>
      <c r="D165">
        <v>3</v>
      </c>
      <c r="E165">
        <v>4</v>
      </c>
      <c r="F165">
        <v>5</v>
      </c>
      <c r="G165">
        <v>6</v>
      </c>
      <c r="H165">
        <v>7</v>
      </c>
      <c r="I165">
        <v>8</v>
      </c>
    </row>
    <row r="166" spans="1:9">
      <c r="A166" t="s">
        <v>77</v>
      </c>
    </row>
    <row r="167" spans="1:9">
      <c r="A167" t="s">
        <v>78</v>
      </c>
    </row>
    <row r="168" spans="1:9">
      <c r="A168" t="s">
        <v>79</v>
      </c>
    </row>
    <row r="180" spans="25:27">
      <c r="AA180" t="s">
        <v>64</v>
      </c>
    </row>
    <row r="181" spans="25:27">
      <c r="AA181" t="s">
        <v>65</v>
      </c>
    </row>
    <row r="182" spans="25:27">
      <c r="AA182" t="s">
        <v>67</v>
      </c>
    </row>
    <row r="183" spans="25:27">
      <c r="Y183">
        <v>-2146826265</v>
      </c>
    </row>
    <row r="184" spans="25:27">
      <c r="Y184">
        <v>-2146826265</v>
      </c>
    </row>
    <row r="185" spans="25:27">
      <c r="Y185">
        <v>-2146826265</v>
      </c>
      <c r="Z185">
        <v>-2146826265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pageSetUpPr fitToPage="1"/>
  </sheetPr>
  <dimension ref="A1:AA238"/>
  <sheetViews>
    <sheetView showGridLines="0" topLeftCell="A16" zoomScale="85" zoomScaleNormal="85" workbookViewId="0">
      <selection activeCell="P22" sqref="P22"/>
    </sheetView>
  </sheetViews>
  <sheetFormatPr defaultColWidth="9.08984375" defaultRowHeight="13"/>
  <cols>
    <col min="1" max="1" width="21.6328125" style="21" customWidth="1"/>
    <col min="2" max="2" width="10.36328125" style="21" customWidth="1"/>
    <col min="3" max="3" width="11.453125" style="34" customWidth="1"/>
    <col min="4" max="4" width="10.36328125" style="21" customWidth="1"/>
    <col min="5" max="7" width="10.54296875" style="21" customWidth="1"/>
    <col min="8" max="10" width="10.36328125" style="21" customWidth="1"/>
    <col min="11" max="18" width="10.453125" style="21" customWidth="1"/>
    <col min="19" max="24" width="9.08984375" style="21"/>
    <col min="25" max="25" width="22.6328125" style="21" customWidth="1"/>
    <col min="26" max="26" width="21.453125" style="21" customWidth="1"/>
    <col min="27" max="27" width="15.54296875" style="21" customWidth="1"/>
    <col min="28" max="28" width="17.6328125" style="21" customWidth="1"/>
    <col min="29" max="29" width="13.08984375" style="21" customWidth="1"/>
    <col min="30" max="30" width="9.08984375" style="21"/>
    <col min="31" max="31" width="6.90625" style="21" customWidth="1"/>
    <col min="32" max="32" width="34" style="21" customWidth="1"/>
    <col min="33" max="33" width="9.08984375" style="21"/>
    <col min="34" max="34" width="35.6328125" style="21" customWidth="1"/>
    <col min="35" max="35" width="9.08984375" style="21"/>
    <col min="36" max="36" width="9.36328125" style="21" customWidth="1"/>
    <col min="37" max="37" width="21.36328125" style="21" customWidth="1"/>
    <col min="38" max="38" width="20.90625" style="21" customWidth="1"/>
    <col min="39" max="39" width="18.54296875" style="21" customWidth="1"/>
    <col min="40" max="40" width="13.6328125" style="21" customWidth="1"/>
    <col min="41" max="42" width="9.36328125" style="21" customWidth="1"/>
    <col min="43" max="43" width="16.54296875" style="21" customWidth="1"/>
    <col min="44" max="44" width="38.54296875" style="21" customWidth="1"/>
    <col min="45" max="45" width="9" style="21" customWidth="1"/>
    <col min="46" max="46" width="35.6328125" style="21" customWidth="1"/>
    <col min="47" max="16384" width="9.08984375" style="21"/>
  </cols>
  <sheetData>
    <row r="1" spans="1:16" ht="35.25" customHeight="1">
      <c r="A1" s="723"/>
      <c r="B1" s="731"/>
      <c r="C1" s="731"/>
      <c r="D1" s="731"/>
      <c r="E1" s="731"/>
      <c r="F1" s="732"/>
      <c r="G1" s="747" t="s">
        <v>205</v>
      </c>
      <c r="H1" s="748"/>
      <c r="I1" s="748"/>
      <c r="J1" s="748"/>
      <c r="K1" s="749"/>
      <c r="L1" s="725" t="s">
        <v>58</v>
      </c>
      <c r="M1" s="726"/>
      <c r="N1" s="756" t="s">
        <v>59</v>
      </c>
      <c r="O1" s="726"/>
    </row>
    <row r="2" spans="1:16" ht="18" customHeight="1">
      <c r="A2" s="724"/>
      <c r="B2" s="733"/>
      <c r="C2" s="733"/>
      <c r="D2" s="733"/>
      <c r="E2" s="733"/>
      <c r="F2" s="734"/>
      <c r="G2" s="750"/>
      <c r="H2" s="751"/>
      <c r="I2" s="751"/>
      <c r="J2" s="751"/>
      <c r="K2" s="752"/>
      <c r="L2" s="719"/>
      <c r="M2" s="720"/>
      <c r="N2" s="719"/>
      <c r="O2" s="720"/>
    </row>
    <row r="3" spans="1:16" ht="12.75" customHeight="1">
      <c r="A3" s="4"/>
      <c r="B3" s="151"/>
      <c r="C3" s="721" t="s">
        <v>98</v>
      </c>
      <c r="D3" s="743">
        <v>44370.484340277777</v>
      </c>
      <c r="E3" s="744"/>
      <c r="F3" s="741" t="s">
        <v>1010</v>
      </c>
      <c r="G3" s="750"/>
      <c r="H3" s="751"/>
      <c r="I3" s="751"/>
      <c r="J3" s="751"/>
      <c r="K3" s="752"/>
      <c r="L3" s="727" t="s">
        <v>1027</v>
      </c>
      <c r="M3" s="727"/>
      <c r="N3" s="727"/>
      <c r="O3" s="728"/>
    </row>
    <row r="4" spans="1:16" ht="12.5">
      <c r="A4" s="148"/>
      <c r="B4" s="147"/>
      <c r="C4" s="722"/>
      <c r="D4" s="745"/>
      <c r="E4" s="746"/>
      <c r="F4" s="742"/>
      <c r="G4" s="753"/>
      <c r="H4" s="754"/>
      <c r="I4" s="754"/>
      <c r="J4" s="754"/>
      <c r="K4" s="755"/>
      <c r="L4" s="729"/>
      <c r="M4" s="729"/>
      <c r="N4" s="729"/>
      <c r="O4" s="730"/>
    </row>
    <row r="5" spans="1:16" ht="23.4" customHeight="1">
      <c r="A5" s="738" t="s">
        <v>61</v>
      </c>
      <c r="B5" s="739"/>
      <c r="C5" s="740"/>
      <c r="D5" s="735"/>
      <c r="E5" s="736"/>
      <c r="F5" s="736"/>
      <c r="G5" s="736"/>
      <c r="H5" s="736"/>
      <c r="I5" s="736"/>
      <c r="J5" s="736"/>
      <c r="K5" s="736"/>
      <c r="L5" s="736"/>
      <c r="M5" s="736"/>
      <c r="N5" s="736"/>
      <c r="O5" s="737"/>
    </row>
    <row r="6" spans="1:16" ht="12.5">
      <c r="A6" s="707" t="s">
        <v>60</v>
      </c>
      <c r="B6" s="682"/>
      <c r="C6" s="708"/>
      <c r="D6" s="713"/>
      <c r="E6" s="714"/>
      <c r="F6" s="714"/>
      <c r="G6" s="714"/>
      <c r="H6" s="714"/>
      <c r="I6" s="714"/>
      <c r="J6" s="714"/>
      <c r="K6" s="714"/>
      <c r="L6" s="714"/>
      <c r="M6" s="714"/>
      <c r="N6" s="714"/>
      <c r="O6" s="715"/>
    </row>
    <row r="7" spans="1:16" ht="12.5">
      <c r="A7" s="709"/>
      <c r="B7" s="710"/>
      <c r="C7" s="711"/>
      <c r="D7" s="716"/>
      <c r="E7" s="717"/>
      <c r="F7" s="717"/>
      <c r="G7" s="717"/>
      <c r="H7" s="717"/>
      <c r="I7" s="717"/>
      <c r="J7" s="717"/>
      <c r="K7" s="717"/>
      <c r="L7" s="717"/>
      <c r="M7" s="717"/>
      <c r="N7" s="717"/>
      <c r="O7" s="718"/>
    </row>
    <row r="8" spans="1:16" ht="12.5">
      <c r="A8" s="707" t="s">
        <v>62</v>
      </c>
      <c r="B8" s="682"/>
      <c r="C8" s="708"/>
      <c r="D8" s="713"/>
      <c r="E8" s="714"/>
      <c r="F8" s="714"/>
      <c r="G8" s="714"/>
      <c r="H8" s="714"/>
      <c r="I8" s="714"/>
      <c r="J8" s="714"/>
      <c r="K8" s="714"/>
      <c r="L8" s="714"/>
      <c r="M8" s="714"/>
      <c r="N8" s="714"/>
      <c r="O8" s="715"/>
    </row>
    <row r="9" spans="1:16" ht="12.5">
      <c r="A9" s="709"/>
      <c r="B9" s="710"/>
      <c r="C9" s="711"/>
      <c r="D9" s="716"/>
      <c r="E9" s="717"/>
      <c r="F9" s="717"/>
      <c r="G9" s="717"/>
      <c r="H9" s="717"/>
      <c r="I9" s="717"/>
      <c r="J9" s="717"/>
      <c r="K9" s="717"/>
      <c r="L9" s="717"/>
      <c r="M9" s="717"/>
      <c r="N9" s="717"/>
      <c r="O9" s="718"/>
    </row>
    <row r="10" spans="1:16">
      <c r="A10" s="683" t="s">
        <v>52</v>
      </c>
      <c r="B10" s="684"/>
      <c r="C10" s="684"/>
      <c r="D10" s="1"/>
      <c r="E10" s="24"/>
      <c r="F10" s="11"/>
      <c r="G10" s="11"/>
      <c r="H10" s="24"/>
      <c r="I10" s="24"/>
      <c r="J10" s="24"/>
      <c r="N10" s="5"/>
      <c r="O10" s="2"/>
      <c r="P10" s="5"/>
    </row>
    <row r="11" spans="1:16">
      <c r="A11" s="712"/>
      <c r="B11" s="684"/>
      <c r="C11" s="684"/>
      <c r="D11" s="1"/>
      <c r="E11" s="284"/>
      <c r="F11" s="5"/>
      <c r="G11" s="5"/>
      <c r="H11" s="5"/>
      <c r="I11" s="5"/>
      <c r="J11" s="12"/>
      <c r="K11" s="111" t="s">
        <v>56</v>
      </c>
      <c r="L11" s="13"/>
      <c r="M11" s="13"/>
      <c r="N11" s="5"/>
      <c r="O11" s="5"/>
      <c r="P11" s="5"/>
    </row>
    <row r="12" spans="1:16" ht="12.75" customHeight="1">
      <c r="A12" s="18" t="s">
        <v>82</v>
      </c>
      <c r="B12" s="203">
        <v>1</v>
      </c>
      <c r="C12" s="67"/>
      <c r="D12" s="1"/>
      <c r="E12" s="5"/>
      <c r="F12" s="5"/>
      <c r="G12" s="5"/>
      <c r="H12" s="5"/>
      <c r="I12" s="5"/>
      <c r="J12" s="12"/>
      <c r="K12" s="56"/>
      <c r="L12" s="19" t="s">
        <v>111</v>
      </c>
      <c r="M12" s="19"/>
      <c r="N12" s="5"/>
      <c r="O12" s="5"/>
      <c r="P12" s="5"/>
    </row>
    <row r="13" spans="1:16">
      <c r="A13" s="18"/>
      <c r="B13" s="23"/>
      <c r="C13" s="23"/>
      <c r="D13" s="1"/>
      <c r="E13" s="270" t="s">
        <v>346</v>
      </c>
      <c r="F13" s="270" t="s">
        <v>347</v>
      </c>
      <c r="G13" s="270" t="s">
        <v>348</v>
      </c>
      <c r="H13" s="5"/>
      <c r="I13" s="174"/>
      <c r="J13" s="12"/>
      <c r="K13" s="57"/>
      <c r="L13" s="19" t="s">
        <v>112</v>
      </c>
      <c r="M13" s="19"/>
      <c r="N13" s="5"/>
      <c r="O13" s="5"/>
      <c r="P13" s="5"/>
    </row>
    <row r="14" spans="1:16">
      <c r="A14" s="681" t="s">
        <v>123</v>
      </c>
      <c r="B14" s="682"/>
      <c r="C14" s="682"/>
      <c r="D14" s="261" t="s">
        <v>57</v>
      </c>
      <c r="E14" s="202"/>
      <c r="F14" s="202"/>
      <c r="G14" s="202"/>
      <c r="H14" s="260"/>
      <c r="I14" s="5"/>
      <c r="J14" s="12"/>
      <c r="K14" s="53"/>
      <c r="L14" s="19" t="s">
        <v>113</v>
      </c>
      <c r="M14" s="19"/>
      <c r="N14" s="5"/>
      <c r="O14" s="5"/>
      <c r="P14" s="5"/>
    </row>
    <row r="15" spans="1:16">
      <c r="D15" s="176" t="s">
        <v>321</v>
      </c>
      <c r="E15" s="179"/>
      <c r="F15" s="178"/>
      <c r="G15" s="229"/>
      <c r="H15" s="260"/>
      <c r="I15" s="5"/>
      <c r="J15" s="5"/>
      <c r="K15" s="7"/>
      <c r="L15" s="81" t="s">
        <v>109</v>
      </c>
      <c r="M15" s="55"/>
      <c r="N15" s="5"/>
      <c r="O15" s="5"/>
      <c r="P15" s="5"/>
    </row>
    <row r="16" spans="1:16">
      <c r="A16" s="23"/>
      <c r="B16" s="23"/>
      <c r="C16" s="23"/>
      <c r="D16" s="174" t="s">
        <v>53</v>
      </c>
      <c r="E16" s="178"/>
      <c r="F16" s="178"/>
      <c r="G16" s="229"/>
      <c r="H16" s="263" t="s">
        <v>784</v>
      </c>
      <c r="I16" s="11"/>
      <c r="J16" s="62"/>
      <c r="L16" s="11"/>
      <c r="M16" s="11"/>
      <c r="N16" s="11"/>
      <c r="O16" s="5"/>
      <c r="P16" s="5"/>
    </row>
    <row r="17" spans="1:19">
      <c r="A17" s="22"/>
      <c r="B17" s="23"/>
      <c r="C17" s="23"/>
      <c r="D17" s="174" t="s">
        <v>55</v>
      </c>
      <c r="E17" s="179">
        <v>500</v>
      </c>
      <c r="F17" s="179"/>
      <c r="G17" s="179"/>
      <c r="H17" s="11"/>
      <c r="I17" s="63"/>
      <c r="J17" s="11"/>
      <c r="L17" s="11"/>
      <c r="M17" s="11"/>
      <c r="N17" s="11"/>
      <c r="O17" s="5"/>
      <c r="P17" s="5"/>
    </row>
    <row r="18" spans="1:19">
      <c r="A18" s="22"/>
      <c r="B18" s="23"/>
      <c r="C18" s="23"/>
      <c r="D18" s="175" t="s">
        <v>54</v>
      </c>
      <c r="E18" s="179"/>
      <c r="F18" s="179"/>
      <c r="G18" s="266"/>
      <c r="H18" s="232">
        <v>2</v>
      </c>
      <c r="I18" s="63"/>
      <c r="J18" s="12"/>
      <c r="K18" s="63"/>
      <c r="L18" s="11"/>
      <c r="M18" s="11"/>
      <c r="N18" s="11"/>
      <c r="O18" s="5"/>
      <c r="P18" s="5"/>
    </row>
    <row r="19" spans="1:19">
      <c r="A19" s="192"/>
      <c r="B19" s="193"/>
      <c r="C19" s="193"/>
      <c r="D19" s="184" t="s">
        <v>57</v>
      </c>
      <c r="E19" s="185">
        <f>E14+E16*1116.28+IF(E149&lt;&gt;0,E17*22.414/E149,0)+IF(E149&lt;&gt;0,E18*0.4536*22.414/E149,0)+E15*0.95</f>
        <v>5559.0277777777774</v>
      </c>
      <c r="F19" s="185">
        <f>F14+F16*1116.28+IF(F149&lt;&gt;0,F17*22.414/F149,0)+IF(F149&lt;&gt;0,F18*0.4536*22.414/F149,0)+F15*0.95</f>
        <v>0</v>
      </c>
      <c r="G19" s="185">
        <f>G14+G16*1116.28+IF(G149&lt;&gt;0,G17*22.414/G149,0)+IF(G149&lt;&gt;0,G18*0.4536*22.414/G149,0)+G15*0.95</f>
        <v>0</v>
      </c>
      <c r="H19" s="11"/>
      <c r="I19" s="11"/>
      <c r="J19" s="12"/>
      <c r="K19" s="64"/>
      <c r="L19" s="11"/>
      <c r="M19" s="11"/>
      <c r="N19" s="11"/>
      <c r="O19" s="5"/>
      <c r="P19" s="5"/>
    </row>
    <row r="20" spans="1:19">
      <c r="A20" s="683" t="s">
        <v>127</v>
      </c>
      <c r="B20" s="684"/>
      <c r="C20" s="684"/>
      <c r="D20" s="183" t="s">
        <v>138</v>
      </c>
      <c r="E20" s="662">
        <v>1</v>
      </c>
      <c r="F20" s="229"/>
      <c r="G20" s="229"/>
      <c r="H20" s="17"/>
      <c r="I20" s="17"/>
      <c r="J20" s="12"/>
      <c r="K20" s="17"/>
      <c r="L20" s="5"/>
      <c r="M20" s="5"/>
      <c r="N20" s="5"/>
      <c r="O20" s="5"/>
      <c r="P20" s="5"/>
    </row>
    <row r="21" spans="1:19">
      <c r="A21" s="23"/>
      <c r="B21" s="23"/>
      <c r="C21" s="5"/>
      <c r="D21" s="176" t="s">
        <v>139</v>
      </c>
      <c r="E21" s="180"/>
      <c r="F21" s="180"/>
      <c r="G21" s="267"/>
      <c r="H21" s="65"/>
      <c r="I21" s="5"/>
      <c r="J21" s="5"/>
      <c r="K21" s="16"/>
      <c r="L21" s="5"/>
      <c r="M21" s="5"/>
      <c r="N21" s="5"/>
      <c r="O21" s="5"/>
      <c r="P21" s="5"/>
      <c r="S21" s="5"/>
    </row>
    <row r="22" spans="1:19">
      <c r="A22" s="446"/>
      <c r="B22" s="446"/>
      <c r="C22" s="5"/>
      <c r="D22" s="447" t="s">
        <v>654</v>
      </c>
      <c r="E22" s="267"/>
      <c r="F22" s="267"/>
      <c r="G22" s="267"/>
      <c r="H22" s="65"/>
      <c r="I22" s="5"/>
      <c r="J22" s="5"/>
      <c r="K22" s="16"/>
      <c r="L22" s="5"/>
      <c r="M22" s="5"/>
      <c r="N22" s="5"/>
      <c r="O22" s="5"/>
      <c r="P22" s="5"/>
      <c r="S22" s="5"/>
    </row>
    <row r="23" spans="1:19">
      <c r="A23" s="192"/>
      <c r="B23" s="193"/>
      <c r="C23" s="194"/>
      <c r="D23" s="186" t="s">
        <v>138</v>
      </c>
      <c r="E23" s="187">
        <f>E20+E21*0.068948+E22*0.980665</f>
        <v>1</v>
      </c>
      <c r="F23" s="187">
        <f>F20+F21*0.068948+F22*0.980665</f>
        <v>0</v>
      </c>
      <c r="G23" s="187">
        <f>G20+G21*0.068948+G22*0.980665</f>
        <v>0</v>
      </c>
      <c r="H23" s="11" t="s">
        <v>711</v>
      </c>
      <c r="I23" s="11"/>
      <c r="J23" s="11"/>
      <c r="K23" s="62"/>
      <c r="L23" s="11"/>
      <c r="M23" s="11"/>
      <c r="N23" s="11"/>
      <c r="O23" s="5"/>
      <c r="P23" s="5"/>
      <c r="S23" s="5"/>
    </row>
    <row r="24" spans="1:19">
      <c r="A24" s="683" t="s">
        <v>135</v>
      </c>
      <c r="B24" s="684"/>
      <c r="C24" s="684"/>
      <c r="D24" s="183" t="s">
        <v>138</v>
      </c>
      <c r="E24" s="229">
        <v>5</v>
      </c>
      <c r="F24" s="229"/>
      <c r="G24" s="229"/>
      <c r="H24" s="11"/>
      <c r="I24" s="11"/>
      <c r="J24" s="61"/>
      <c r="K24" s="62"/>
      <c r="L24" s="11"/>
      <c r="M24" s="11"/>
      <c r="N24" s="11"/>
      <c r="O24" s="5"/>
      <c r="P24" s="5"/>
      <c r="S24" s="5"/>
    </row>
    <row r="25" spans="1:19">
      <c r="A25" s="23"/>
      <c r="B25" s="23"/>
      <c r="C25" s="5"/>
      <c r="D25" s="176" t="s">
        <v>139</v>
      </c>
      <c r="E25" s="180"/>
      <c r="F25" s="180"/>
      <c r="G25" s="267"/>
      <c r="H25" s="65"/>
      <c r="I25" s="5"/>
      <c r="J25" s="695" t="s">
        <v>86</v>
      </c>
      <c r="K25" s="696"/>
      <c r="L25" s="696"/>
      <c r="M25" s="5"/>
      <c r="N25" s="5"/>
      <c r="O25" s="5"/>
      <c r="P25" s="5"/>
      <c r="S25" s="5"/>
    </row>
    <row r="26" spans="1:19">
      <c r="A26" s="446"/>
      <c r="B26" s="446"/>
      <c r="C26" s="5"/>
      <c r="D26" s="447" t="s">
        <v>654</v>
      </c>
      <c r="E26" s="267"/>
      <c r="F26" s="267"/>
      <c r="G26" s="267"/>
      <c r="H26" s="65"/>
      <c r="I26" s="5"/>
      <c r="J26" s="695"/>
      <c r="K26" s="696"/>
      <c r="L26" s="696"/>
      <c r="M26" s="5"/>
      <c r="N26" s="5"/>
      <c r="O26" s="5"/>
      <c r="P26" s="5"/>
      <c r="S26" s="5"/>
    </row>
    <row r="27" spans="1:19" ht="13.5" thickBot="1">
      <c r="A27" s="192"/>
      <c r="B27" s="193"/>
      <c r="C27" s="193"/>
      <c r="D27" s="186" t="s">
        <v>138</v>
      </c>
      <c r="E27" s="187">
        <f>E24+E25*0.068948+E26*0.980665</f>
        <v>5</v>
      </c>
      <c r="F27" s="187">
        <f>F24+F25*0.068948+F26*0.980665</f>
        <v>0</v>
      </c>
      <c r="G27" s="187">
        <f>G24+G25*0.068948+G26*0.980665</f>
        <v>0</v>
      </c>
      <c r="H27" s="65"/>
      <c r="I27" s="5"/>
      <c r="J27" s="696"/>
      <c r="K27" s="696"/>
      <c r="L27" s="696"/>
      <c r="M27" s="5"/>
      <c r="N27" s="5"/>
      <c r="O27" s="5"/>
      <c r="P27" s="5"/>
      <c r="S27" s="5"/>
    </row>
    <row r="28" spans="1:19" ht="13.5" customHeight="1" thickTop="1">
      <c r="A28" s="683" t="s">
        <v>136</v>
      </c>
      <c r="B28" s="684"/>
      <c r="C28" s="166"/>
      <c r="D28" s="188" t="s">
        <v>140</v>
      </c>
      <c r="E28" s="229">
        <v>35</v>
      </c>
      <c r="F28" s="229"/>
      <c r="G28" s="229"/>
      <c r="H28" s="701"/>
      <c r="I28" s="702"/>
      <c r="J28" s="686" t="s">
        <v>1054</v>
      </c>
      <c r="K28" s="687"/>
      <c r="L28" s="688"/>
      <c r="M28" s="705" t="s">
        <v>1050</v>
      </c>
      <c r="N28" s="706"/>
      <c r="O28" s="706"/>
      <c r="P28" s="706"/>
      <c r="S28" s="5"/>
    </row>
    <row r="29" spans="1:19" ht="17.25" customHeight="1">
      <c r="A29" s="23"/>
      <c r="B29" s="23"/>
      <c r="C29" s="23"/>
      <c r="D29" s="174" t="s">
        <v>141</v>
      </c>
      <c r="E29" s="181"/>
      <c r="F29" s="231"/>
      <c r="G29" s="268"/>
      <c r="H29" s="701"/>
      <c r="I29" s="702"/>
      <c r="J29" s="689"/>
      <c r="K29" s="690"/>
      <c r="L29" s="691"/>
      <c r="M29" s="705"/>
      <c r="N29" s="706"/>
      <c r="O29" s="706"/>
      <c r="P29" s="706"/>
      <c r="S29" s="5"/>
    </row>
    <row r="30" spans="1:19" ht="16.5" customHeight="1" thickBot="1">
      <c r="A30" s="192"/>
      <c r="B30" s="193"/>
      <c r="C30" s="193"/>
      <c r="D30" s="186" t="s">
        <v>140</v>
      </c>
      <c r="E30" s="189">
        <f>E28+IF(E29&lt;&gt;"",((E29-32)*5/9),0)</f>
        <v>35</v>
      </c>
      <c r="F30" s="189">
        <f>F28+IF(F29&lt;&gt;"",((F29-32)*5/9),0)</f>
        <v>0</v>
      </c>
      <c r="G30" s="189">
        <f>G28+IF(G29&lt;&gt;"",((G29-32)*5/9),0)</f>
        <v>0</v>
      </c>
      <c r="H30" s="701"/>
      <c r="I30" s="702"/>
      <c r="J30" s="692"/>
      <c r="K30" s="693"/>
      <c r="L30" s="694"/>
      <c r="M30" s="705"/>
      <c r="N30" s="706"/>
      <c r="O30" s="706"/>
      <c r="P30" s="706"/>
      <c r="S30" s="5"/>
    </row>
    <row r="31" spans="1:19" ht="16.5" thickTop="1" thickBot="1">
      <c r="A31" s="683" t="s">
        <v>137</v>
      </c>
      <c r="B31" s="684"/>
      <c r="C31" s="684"/>
      <c r="D31" s="188" t="s">
        <v>140</v>
      </c>
      <c r="E31" s="230"/>
      <c r="F31" s="230"/>
      <c r="G31" s="230"/>
      <c r="H31" s="65"/>
      <c r="I31" s="5"/>
      <c r="J31" s="685" t="s">
        <v>290</v>
      </c>
      <c r="K31" s="685"/>
      <c r="L31" s="685"/>
      <c r="M31" s="5"/>
      <c r="N31" s="5"/>
      <c r="O31" s="5"/>
      <c r="P31" s="5"/>
    </row>
    <row r="32" spans="1:19">
      <c r="A32" s="23"/>
      <c r="B32" s="14"/>
      <c r="C32" s="23"/>
      <c r="D32" s="174" t="s">
        <v>141</v>
      </c>
      <c r="E32" s="182"/>
      <c r="F32" s="182"/>
      <c r="G32" s="230"/>
      <c r="H32" s="65"/>
      <c r="I32" s="5"/>
      <c r="J32" s="675" t="s">
        <v>1055</v>
      </c>
      <c r="K32" s="676"/>
      <c r="L32" s="677"/>
      <c r="M32" s="5"/>
      <c r="N32" s="5"/>
      <c r="O32" s="5"/>
      <c r="P32" s="5"/>
      <c r="S32" s="5"/>
    </row>
    <row r="33" spans="1:19" ht="13.5" thickBot="1">
      <c r="A33" s="192"/>
      <c r="B33" s="195"/>
      <c r="C33" s="193"/>
      <c r="D33" s="186" t="s">
        <v>140</v>
      </c>
      <c r="E33" s="189">
        <f>E31+IF(E32&lt;&gt;"",((E32-32)*5/9),0)</f>
        <v>0</v>
      </c>
      <c r="F33" s="189">
        <f>F31+IF(F32&lt;&gt;"",((F32-32)*5/9),0)</f>
        <v>0</v>
      </c>
      <c r="G33" s="189">
        <f>G31+IF(G32&lt;&gt;"",((G32-32)*5/9),0)</f>
        <v>0</v>
      </c>
      <c r="H33" s="65"/>
      <c r="I33" s="5"/>
      <c r="J33" s="678"/>
      <c r="K33" s="679"/>
      <c r="L33" s="680"/>
      <c r="M33" s="5"/>
      <c r="N33" s="5"/>
      <c r="O33" s="5"/>
      <c r="P33" s="5"/>
      <c r="S33" s="5"/>
    </row>
    <row r="34" spans="1:19">
      <c r="A34" s="190" t="s">
        <v>74</v>
      </c>
      <c r="B34" s="164"/>
      <c r="C34" s="191"/>
      <c r="D34" s="165"/>
      <c r="E34" s="112"/>
      <c r="F34" s="112"/>
      <c r="G34" s="112"/>
      <c r="H34" s="11"/>
      <c r="I34" s="11"/>
      <c r="J34" s="65"/>
      <c r="K34" s="65"/>
      <c r="L34" s="11"/>
      <c r="M34" s="11"/>
      <c r="N34" s="11"/>
      <c r="O34" s="5"/>
      <c r="P34" s="5"/>
      <c r="S34" s="5"/>
    </row>
    <row r="35" spans="1:19">
      <c r="C35" s="23"/>
      <c r="D35" s="5"/>
      <c r="E35" s="15"/>
      <c r="F35" s="5"/>
      <c r="G35" s="5"/>
      <c r="I35" s="11"/>
      <c r="J35" s="11"/>
      <c r="K35" s="11"/>
      <c r="L35" s="11"/>
      <c r="M35" s="11"/>
      <c r="N35" s="11"/>
      <c r="O35" s="5"/>
      <c r="P35" s="5"/>
      <c r="S35" s="5"/>
    </row>
    <row r="36" spans="1:19" ht="18.899999999999999" customHeight="1">
      <c r="A36" s="18" t="s">
        <v>66</v>
      </c>
      <c r="B36" s="23"/>
      <c r="C36" s="23"/>
      <c r="D36" s="5"/>
      <c r="E36" s="259">
        <v>2</v>
      </c>
      <c r="F36" s="73">
        <v>3</v>
      </c>
      <c r="G36" s="73">
        <v>3</v>
      </c>
      <c r="H36" s="11"/>
      <c r="I36" s="11"/>
      <c r="J36" s="11"/>
      <c r="K36" s="11"/>
      <c r="L36" s="11"/>
      <c r="M36" s="11"/>
      <c r="N36" s="697"/>
      <c r="O36" s="697"/>
      <c r="P36" s="5"/>
      <c r="S36" s="5"/>
    </row>
    <row r="37" spans="1:19" ht="18.899999999999999" customHeight="1">
      <c r="A37" s="18" t="s">
        <v>177</v>
      </c>
      <c r="B37" s="23"/>
      <c r="C37" s="23"/>
      <c r="D37" s="5"/>
      <c r="E37" s="74">
        <v>1</v>
      </c>
      <c r="F37" s="451"/>
      <c r="G37" s="5"/>
      <c r="H37" s="66"/>
      <c r="I37" s="11"/>
      <c r="J37" s="11"/>
      <c r="K37" s="11"/>
      <c r="M37" s="11"/>
      <c r="N37" s="697"/>
      <c r="O37" s="697"/>
      <c r="P37" s="5"/>
      <c r="S37" s="5"/>
    </row>
    <row r="38" spans="1:19" ht="15.75" customHeight="1">
      <c r="A38" s="653" t="s">
        <v>1011</v>
      </c>
      <c r="B38" s="651">
        <v>82</v>
      </c>
      <c r="C38" s="23"/>
      <c r="D38" s="5"/>
      <c r="E38" s="23"/>
      <c r="F38" s="15"/>
      <c r="G38" s="15"/>
      <c r="H38" s="82"/>
      <c r="I38" s="11"/>
      <c r="J38" s="11"/>
      <c r="K38" s="11"/>
      <c r="L38" s="11"/>
      <c r="M38" s="11"/>
      <c r="N38" s="697"/>
      <c r="O38" s="697"/>
      <c r="P38" s="5"/>
      <c r="S38" s="5"/>
    </row>
    <row r="39" spans="1:19" ht="12.75" customHeight="1">
      <c r="A39" s="50" t="s">
        <v>75</v>
      </c>
      <c r="B39" s="75">
        <v>1</v>
      </c>
      <c r="D39" s="59"/>
      <c r="E39" s="60" t="s">
        <v>329</v>
      </c>
      <c r="F39" s="262"/>
      <c r="G39" s="65" t="str">
        <f>Input_Rpm_Change(RpmLimit,MotorType,Compressor_Speed)</f>
        <v/>
      </c>
      <c r="J39" s="304"/>
      <c r="K39" s="5"/>
      <c r="L39" s="5"/>
      <c r="M39" s="5"/>
      <c r="N39" s="5"/>
      <c r="O39" s="5"/>
      <c r="P39" s="5"/>
      <c r="S39" s="5"/>
    </row>
    <row r="40" spans="1:19">
      <c r="A40" s="4"/>
      <c r="B40" s="5"/>
      <c r="D40" s="59"/>
      <c r="E40" s="60" t="s">
        <v>99</v>
      </c>
      <c r="F40" s="113"/>
      <c r="G40" s="23" t="s">
        <v>110</v>
      </c>
      <c r="H40" s="660" t="s">
        <v>1020</v>
      </c>
      <c r="I40" s="654" t="s">
        <v>1045</v>
      </c>
      <c r="J40" s="263" t="s">
        <v>1046</v>
      </c>
      <c r="K40" s="263"/>
      <c r="L40" s="263"/>
      <c r="M40" s="263"/>
      <c r="N40" s="263"/>
      <c r="O40" s="263"/>
      <c r="P40" s="263"/>
      <c r="Q40" s="655"/>
      <c r="R40" s="655"/>
      <c r="S40" s="5"/>
    </row>
    <row r="41" spans="1:19" ht="27.75" customHeight="1">
      <c r="A41" s="700" t="s">
        <v>332</v>
      </c>
      <c r="B41" s="700"/>
      <c r="C41" s="700"/>
      <c r="D41" s="670" t="s">
        <v>1022</v>
      </c>
      <c r="E41" s="671"/>
      <c r="F41" s="498"/>
      <c r="G41" s="703" t="s">
        <v>1021</v>
      </c>
      <c r="H41" s="704"/>
      <c r="I41" s="651"/>
      <c r="J41" s="651"/>
      <c r="K41" s="651"/>
      <c r="L41" s="651"/>
      <c r="M41" s="651"/>
      <c r="N41" s="651"/>
      <c r="O41" s="651"/>
      <c r="P41" s="651"/>
      <c r="Q41" s="651"/>
      <c r="R41" s="651"/>
      <c r="S41" s="5"/>
    </row>
    <row r="42" spans="1:19">
      <c r="A42" s="28" t="s">
        <v>715</v>
      </c>
      <c r="C42" s="28" t="s">
        <v>293</v>
      </c>
      <c r="D42" s="30" t="s">
        <v>4</v>
      </c>
      <c r="E42" s="31" t="s">
        <v>5</v>
      </c>
      <c r="F42" s="31" t="s">
        <v>5</v>
      </c>
      <c r="G42" s="31" t="s">
        <v>5</v>
      </c>
      <c r="I42" s="5"/>
      <c r="J42" s="5"/>
      <c r="K42" s="32"/>
      <c r="L42" s="5"/>
      <c r="M42" s="5"/>
      <c r="N42" s="5"/>
      <c r="S42" s="5"/>
    </row>
    <row r="43" spans="1:19">
      <c r="A43" s="21" t="s">
        <v>6</v>
      </c>
      <c r="C43" s="21" t="s">
        <v>7</v>
      </c>
      <c r="D43" s="83">
        <v>2.016</v>
      </c>
      <c r="E43" s="196">
        <v>100</v>
      </c>
      <c r="F43" s="196"/>
      <c r="G43" s="196"/>
      <c r="H43" s="228"/>
      <c r="I43" s="284"/>
      <c r="J43" s="284"/>
      <c r="K43" s="284"/>
      <c r="L43" s="285"/>
      <c r="M43" s="284"/>
      <c r="N43" s="284"/>
      <c r="S43" s="15"/>
    </row>
    <row r="44" spans="1:19">
      <c r="A44" s="21" t="s">
        <v>143</v>
      </c>
      <c r="C44" s="21" t="s">
        <v>9</v>
      </c>
      <c r="D44" s="83">
        <v>32</v>
      </c>
      <c r="E44" s="197"/>
      <c r="F44" s="197"/>
      <c r="G44" s="197"/>
      <c r="H44" s="491"/>
      <c r="I44" s="284"/>
      <c r="J44" s="284"/>
      <c r="K44" s="284"/>
      <c r="L44" s="284"/>
      <c r="M44" s="286"/>
      <c r="N44" s="284"/>
    </row>
    <row r="45" spans="1:19">
      <c r="A45" s="21" t="s">
        <v>10</v>
      </c>
      <c r="C45" s="21" t="s">
        <v>11</v>
      </c>
      <c r="D45" s="83">
        <v>28.015999999999998</v>
      </c>
      <c r="E45" s="197"/>
      <c r="F45" s="197"/>
      <c r="G45" s="197"/>
      <c r="H45" s="228"/>
      <c r="I45" s="228"/>
      <c r="J45" s="228"/>
      <c r="K45" s="228"/>
      <c r="L45" s="228"/>
      <c r="M45" s="228"/>
      <c r="N45" s="228"/>
    </row>
    <row r="46" spans="1:19">
      <c r="A46" s="21" t="s">
        <v>144</v>
      </c>
      <c r="C46" s="233" t="s">
        <v>13</v>
      </c>
      <c r="D46" s="83">
        <v>28.01</v>
      </c>
      <c r="E46" s="197"/>
      <c r="F46" s="197"/>
      <c r="G46" s="197"/>
      <c r="H46" s="228"/>
      <c r="I46" s="228"/>
      <c r="J46" s="228"/>
      <c r="K46" s="228"/>
      <c r="L46" s="228"/>
      <c r="M46" s="228"/>
      <c r="N46" s="228"/>
    </row>
    <row r="47" spans="1:19">
      <c r="A47" s="21" t="s">
        <v>145</v>
      </c>
      <c r="C47" s="21" t="s">
        <v>15</v>
      </c>
      <c r="D47" s="83">
        <v>44.01</v>
      </c>
      <c r="E47" s="197"/>
      <c r="F47" s="197"/>
      <c r="G47" s="197"/>
      <c r="H47" s="228"/>
      <c r="I47" s="228"/>
      <c r="J47" s="228"/>
      <c r="K47" s="228"/>
      <c r="L47" s="228"/>
      <c r="M47" s="228"/>
      <c r="N47" s="228"/>
    </row>
    <row r="48" spans="1:19">
      <c r="A48" s="233" t="s">
        <v>1044</v>
      </c>
      <c r="C48" s="21" t="s">
        <v>17</v>
      </c>
      <c r="D48" s="83">
        <v>18.015999999999998</v>
      </c>
      <c r="E48" s="197"/>
      <c r="F48" s="197"/>
      <c r="G48" s="197"/>
      <c r="H48" s="228"/>
      <c r="I48" s="228"/>
      <c r="J48" s="228"/>
      <c r="K48" s="228"/>
      <c r="L48" s="228"/>
      <c r="M48" s="228"/>
      <c r="N48" s="228"/>
    </row>
    <row r="49" spans="1:15">
      <c r="A49" s="21" t="s">
        <v>18</v>
      </c>
      <c r="C49" s="21" t="s">
        <v>19</v>
      </c>
      <c r="D49" s="83">
        <v>17.032</v>
      </c>
      <c r="E49" s="197"/>
      <c r="F49" s="197"/>
      <c r="G49" s="197"/>
      <c r="H49" s="228"/>
      <c r="I49" s="228"/>
      <c r="J49" s="228"/>
      <c r="K49" s="228"/>
      <c r="L49" s="228"/>
      <c r="M49" s="228"/>
      <c r="N49" s="228"/>
    </row>
    <row r="50" spans="1:15" ht="12.75" customHeight="1">
      <c r="A50" s="21" t="s">
        <v>20</v>
      </c>
      <c r="C50" s="21" t="s">
        <v>21</v>
      </c>
      <c r="D50" s="83">
        <v>64.06</v>
      </c>
      <c r="E50" s="197"/>
      <c r="F50" s="197"/>
      <c r="G50" s="197"/>
      <c r="H50" s="698"/>
      <c r="I50" s="699"/>
      <c r="J50" s="699"/>
      <c r="K50" s="699"/>
      <c r="L50" s="699"/>
      <c r="M50" s="699"/>
      <c r="N50" s="699"/>
      <c r="O50" s="699"/>
    </row>
    <row r="51" spans="1:15" ht="12.5">
      <c r="A51" s="21" t="s">
        <v>68</v>
      </c>
      <c r="C51" s="21" t="s">
        <v>22</v>
      </c>
      <c r="D51" s="83">
        <v>34.076000000000001</v>
      </c>
      <c r="E51" s="197"/>
      <c r="F51" s="197"/>
      <c r="G51" s="197"/>
      <c r="H51" s="698"/>
      <c r="I51" s="699"/>
      <c r="J51" s="699"/>
      <c r="K51" s="699"/>
      <c r="L51" s="699"/>
      <c r="M51" s="699"/>
      <c r="N51" s="699"/>
      <c r="O51" s="699"/>
    </row>
    <row r="52" spans="1:15" ht="12.5">
      <c r="A52" s="21" t="s">
        <v>23</v>
      </c>
      <c r="C52" s="21"/>
      <c r="D52" s="83">
        <v>28.966000000000001</v>
      </c>
      <c r="E52" s="197"/>
      <c r="F52" s="197"/>
      <c r="G52" s="197"/>
      <c r="H52" s="698"/>
      <c r="I52" s="699"/>
      <c r="J52" s="699"/>
      <c r="K52" s="699"/>
      <c r="L52" s="699"/>
      <c r="M52" s="699"/>
      <c r="N52" s="699"/>
      <c r="O52" s="699"/>
    </row>
    <row r="53" spans="1:15" ht="12.5">
      <c r="A53" s="21" t="s">
        <v>24</v>
      </c>
      <c r="C53" s="21" t="s">
        <v>25</v>
      </c>
      <c r="D53" s="83">
        <v>16.042000000000002</v>
      </c>
      <c r="E53" s="197"/>
      <c r="F53" s="197"/>
      <c r="G53" s="197"/>
      <c r="H53" s="698"/>
      <c r="I53" s="699"/>
      <c r="J53" s="699"/>
      <c r="K53" s="699"/>
      <c r="L53" s="699"/>
      <c r="M53" s="699"/>
      <c r="N53" s="699"/>
      <c r="O53" s="699"/>
    </row>
    <row r="54" spans="1:15" ht="12.5">
      <c r="A54" s="21" t="s">
        <v>146</v>
      </c>
      <c r="C54" s="21" t="s">
        <v>27</v>
      </c>
      <c r="D54" s="83">
        <v>26.036000000000001</v>
      </c>
      <c r="E54" s="197"/>
      <c r="F54" s="197"/>
      <c r="G54" s="197"/>
      <c r="H54" s="698"/>
      <c r="I54" s="699"/>
      <c r="J54" s="699"/>
      <c r="K54" s="699"/>
      <c r="L54" s="699"/>
      <c r="M54" s="699"/>
      <c r="N54" s="699"/>
      <c r="O54" s="699"/>
    </row>
    <row r="55" spans="1:15" ht="12.5">
      <c r="A55" s="21" t="s">
        <v>28</v>
      </c>
      <c r="C55" s="21" t="s">
        <v>29</v>
      </c>
      <c r="D55" s="83">
        <v>28.052</v>
      </c>
      <c r="E55" s="197"/>
      <c r="F55" s="197"/>
      <c r="G55" s="197"/>
      <c r="H55" s="698"/>
      <c r="I55" s="699"/>
      <c r="J55" s="699"/>
      <c r="K55" s="699"/>
      <c r="L55" s="699"/>
      <c r="M55" s="699"/>
      <c r="N55" s="699"/>
      <c r="O55" s="699"/>
    </row>
    <row r="56" spans="1:15" ht="12.5">
      <c r="A56" s="21" t="s">
        <v>30</v>
      </c>
      <c r="C56" s="21" t="s">
        <v>31</v>
      </c>
      <c r="D56" s="83">
        <v>30.068000000000001</v>
      </c>
      <c r="E56" s="197"/>
      <c r="F56" s="197"/>
      <c r="G56" s="197"/>
      <c r="H56" s="698"/>
      <c r="I56" s="699"/>
      <c r="J56" s="699"/>
      <c r="K56" s="699"/>
      <c r="L56" s="699"/>
      <c r="M56" s="699"/>
      <c r="N56" s="699"/>
      <c r="O56" s="699"/>
    </row>
    <row r="57" spans="1:15" ht="12.5">
      <c r="A57" s="21" t="s">
        <v>32</v>
      </c>
      <c r="C57" s="21" t="s">
        <v>33</v>
      </c>
      <c r="D57" s="83">
        <v>42.078000000000003</v>
      </c>
      <c r="E57" s="197"/>
      <c r="F57" s="197"/>
      <c r="G57" s="197"/>
      <c r="H57" s="698"/>
      <c r="I57" s="699"/>
      <c r="J57" s="699"/>
      <c r="K57" s="699"/>
      <c r="L57" s="699"/>
      <c r="M57" s="699"/>
      <c r="N57" s="699"/>
      <c r="O57" s="699"/>
    </row>
    <row r="58" spans="1:15" ht="12.5">
      <c r="A58" s="21" t="s">
        <v>34</v>
      </c>
      <c r="C58" s="21" t="s">
        <v>35</v>
      </c>
      <c r="D58" s="83">
        <v>44.094000000000001</v>
      </c>
      <c r="E58" s="197"/>
      <c r="F58" s="197"/>
      <c r="G58" s="197"/>
      <c r="H58" s="698"/>
      <c r="I58" s="699"/>
      <c r="J58" s="699"/>
      <c r="K58" s="699"/>
      <c r="L58" s="699"/>
      <c r="M58" s="699"/>
      <c r="N58" s="699"/>
      <c r="O58" s="699"/>
    </row>
    <row r="59" spans="1:15">
      <c r="A59" s="233" t="s">
        <v>1033</v>
      </c>
      <c r="C59" s="264" t="s">
        <v>462</v>
      </c>
      <c r="D59" s="83">
        <v>56.107999999999997</v>
      </c>
      <c r="E59" s="197"/>
      <c r="F59" s="197"/>
      <c r="G59" s="197"/>
      <c r="H59" s="436"/>
      <c r="I59" s="436"/>
      <c r="J59" s="436"/>
      <c r="K59" s="436"/>
      <c r="L59" s="436"/>
      <c r="M59" s="436"/>
      <c r="N59" s="436"/>
    </row>
    <row r="60" spans="1:15">
      <c r="A60" s="233" t="s">
        <v>1039</v>
      </c>
      <c r="C60" s="21" t="s">
        <v>36</v>
      </c>
      <c r="D60" s="83">
        <v>56.103999999999999</v>
      </c>
      <c r="E60" s="197"/>
      <c r="F60" s="197"/>
      <c r="G60" s="197"/>
      <c r="H60" s="436"/>
      <c r="I60" s="436"/>
      <c r="J60" s="436"/>
      <c r="K60" s="436"/>
      <c r="L60" s="436"/>
      <c r="M60" s="436"/>
      <c r="N60" s="436"/>
    </row>
    <row r="61" spans="1:15">
      <c r="A61" s="21" t="s">
        <v>40</v>
      </c>
      <c r="C61" s="21" t="s">
        <v>39</v>
      </c>
      <c r="D61" s="83">
        <v>58.12</v>
      </c>
      <c r="E61" s="197"/>
      <c r="F61" s="197"/>
      <c r="G61" s="197"/>
      <c r="H61" s="436"/>
      <c r="I61" s="436"/>
      <c r="J61" s="436"/>
      <c r="K61" s="436"/>
      <c r="L61" s="436"/>
      <c r="M61" s="436"/>
      <c r="N61" s="436"/>
    </row>
    <row r="62" spans="1:15">
      <c r="A62" s="21" t="s">
        <v>147</v>
      </c>
      <c r="C62" s="21" t="s">
        <v>39</v>
      </c>
      <c r="D62" s="271">
        <v>58.12</v>
      </c>
      <c r="E62" s="197"/>
      <c r="F62" s="197"/>
      <c r="G62" s="197"/>
      <c r="H62" s="228"/>
      <c r="I62" s="228"/>
      <c r="J62" s="228"/>
      <c r="K62" s="228"/>
      <c r="L62" s="228"/>
      <c r="M62" s="228"/>
      <c r="N62" s="228"/>
    </row>
    <row r="63" spans="1:15">
      <c r="A63" s="21" t="s">
        <v>43</v>
      </c>
      <c r="C63" s="21" t="s">
        <v>42</v>
      </c>
      <c r="D63" s="83">
        <v>72.146000000000001</v>
      </c>
      <c r="E63" s="197"/>
      <c r="F63" s="197"/>
      <c r="G63" s="197"/>
      <c r="H63" s="228"/>
      <c r="I63" s="287"/>
      <c r="J63" s="228"/>
      <c r="K63" s="228"/>
      <c r="L63" s="228"/>
      <c r="M63" s="228"/>
      <c r="N63" s="228"/>
    </row>
    <row r="64" spans="1:15">
      <c r="A64" s="21" t="s">
        <v>148</v>
      </c>
      <c r="C64" s="21" t="s">
        <v>42</v>
      </c>
      <c r="D64" s="271">
        <v>72.146000000000001</v>
      </c>
      <c r="E64" s="197"/>
      <c r="F64" s="197"/>
      <c r="G64" s="197"/>
      <c r="H64" s="228"/>
      <c r="I64" s="287"/>
      <c r="J64" s="228"/>
      <c r="K64" s="228"/>
      <c r="L64" s="228"/>
      <c r="M64" s="228"/>
      <c r="N64" s="228"/>
    </row>
    <row r="65" spans="1:14">
      <c r="A65" s="264" t="s">
        <v>461</v>
      </c>
      <c r="C65" s="21" t="s">
        <v>463</v>
      </c>
      <c r="D65" s="271">
        <v>70.134</v>
      </c>
      <c r="E65" s="197"/>
      <c r="F65" s="197"/>
      <c r="G65" s="197"/>
      <c r="H65" s="228"/>
      <c r="I65" s="287"/>
      <c r="J65" s="228"/>
      <c r="K65" s="228"/>
      <c r="L65" s="228"/>
      <c r="M65" s="228"/>
      <c r="N65" s="228"/>
    </row>
    <row r="66" spans="1:14">
      <c r="A66" s="233" t="s">
        <v>1042</v>
      </c>
      <c r="C66" s="21" t="s">
        <v>42</v>
      </c>
      <c r="D66" s="83">
        <v>72.146000000000001</v>
      </c>
      <c r="E66" s="197"/>
      <c r="F66" s="197"/>
      <c r="G66" s="197"/>
      <c r="H66" s="228"/>
      <c r="I66" s="287"/>
      <c r="J66" s="228"/>
      <c r="K66" s="228"/>
      <c r="L66" s="228"/>
      <c r="M66" s="228"/>
      <c r="N66" s="228"/>
    </row>
    <row r="67" spans="1:14">
      <c r="A67" s="21" t="s">
        <v>45</v>
      </c>
      <c r="C67" s="21" t="s">
        <v>46</v>
      </c>
      <c r="D67" s="83">
        <v>78.108000000000004</v>
      </c>
      <c r="E67" s="197"/>
      <c r="F67" s="197"/>
      <c r="G67" s="197"/>
      <c r="H67" s="228"/>
      <c r="I67" s="287"/>
      <c r="J67" s="228"/>
      <c r="K67" s="228"/>
      <c r="L67" s="228"/>
      <c r="M67" s="228"/>
      <c r="N67" s="228"/>
    </row>
    <row r="68" spans="1:14">
      <c r="A68" s="21" t="s">
        <v>150</v>
      </c>
      <c r="C68" s="21" t="s">
        <v>48</v>
      </c>
      <c r="D68" s="83">
        <v>86.171999999999997</v>
      </c>
      <c r="E68" s="197"/>
      <c r="F68" s="197"/>
      <c r="G68" s="197"/>
      <c r="H68" s="228"/>
      <c r="I68" s="287"/>
      <c r="J68" s="228"/>
      <c r="K68" s="228"/>
      <c r="L68" s="228"/>
      <c r="M68" s="228"/>
      <c r="N68" s="228"/>
    </row>
    <row r="69" spans="1:14">
      <c r="A69" s="233" t="s">
        <v>460</v>
      </c>
      <c r="C69" s="21" t="s">
        <v>465</v>
      </c>
      <c r="D69" s="83">
        <v>84.162000000000006</v>
      </c>
      <c r="E69" s="198"/>
      <c r="F69" s="198"/>
      <c r="G69" s="198"/>
      <c r="H69" s="228"/>
      <c r="I69" s="287"/>
      <c r="J69" s="228"/>
      <c r="K69" s="228"/>
      <c r="L69" s="228"/>
      <c r="M69" s="228"/>
      <c r="N69" s="228"/>
    </row>
    <row r="70" spans="1:14">
      <c r="A70" s="21" t="s">
        <v>149</v>
      </c>
      <c r="C70" s="21" t="s">
        <v>50</v>
      </c>
      <c r="D70" s="83">
        <v>100.19799999999999</v>
      </c>
      <c r="E70" s="198"/>
      <c r="F70" s="198"/>
      <c r="G70" s="198"/>
      <c r="H70" s="228"/>
      <c r="I70" s="287"/>
      <c r="J70" s="228"/>
      <c r="K70" s="228"/>
      <c r="L70" s="228"/>
      <c r="M70" s="228"/>
      <c r="N70" s="228"/>
    </row>
    <row r="71" spans="1:14">
      <c r="A71" s="264" t="s">
        <v>333</v>
      </c>
      <c r="C71" s="264" t="s">
        <v>334</v>
      </c>
      <c r="D71" s="83">
        <v>114.232</v>
      </c>
      <c r="E71" s="198"/>
      <c r="F71" s="198"/>
      <c r="G71" s="198"/>
      <c r="H71" s="228"/>
      <c r="I71" s="287"/>
      <c r="J71" s="228"/>
      <c r="K71" s="228"/>
      <c r="L71" s="228"/>
      <c r="M71" s="228"/>
      <c r="N71" s="228"/>
    </row>
    <row r="72" spans="1:14">
      <c r="A72" s="264" t="s">
        <v>335</v>
      </c>
      <c r="C72" s="264" t="s">
        <v>339</v>
      </c>
      <c r="D72" s="83">
        <v>128.25899999999999</v>
      </c>
      <c r="E72" s="198"/>
      <c r="F72" s="198"/>
      <c r="G72" s="198"/>
      <c r="H72" s="228"/>
      <c r="I72" s="287"/>
      <c r="J72" s="228"/>
      <c r="K72" s="228"/>
      <c r="L72" s="228"/>
      <c r="M72" s="228"/>
      <c r="N72" s="228"/>
    </row>
    <row r="73" spans="1:14">
      <c r="A73" s="264" t="s">
        <v>336</v>
      </c>
      <c r="C73" s="264" t="s">
        <v>340</v>
      </c>
      <c r="D73" s="83">
        <v>142.286</v>
      </c>
      <c r="E73" s="198"/>
      <c r="F73" s="198"/>
      <c r="G73" s="198"/>
      <c r="H73" s="228"/>
      <c r="I73" s="287"/>
      <c r="J73" s="228"/>
      <c r="K73" s="228"/>
      <c r="L73" s="228"/>
      <c r="M73" s="228"/>
      <c r="N73" s="228"/>
    </row>
    <row r="74" spans="1:14">
      <c r="A74" s="264" t="s">
        <v>337</v>
      </c>
      <c r="C74" s="264" t="s">
        <v>341</v>
      </c>
      <c r="D74" s="83">
        <v>156.31299999999999</v>
      </c>
      <c r="E74" s="198"/>
      <c r="F74" s="198"/>
      <c r="G74" s="198"/>
      <c r="H74" s="228"/>
      <c r="I74" s="287"/>
      <c r="J74" s="228"/>
      <c r="K74" s="228"/>
      <c r="L74" s="228"/>
      <c r="M74" s="228"/>
      <c r="N74" s="228"/>
    </row>
    <row r="75" spans="1:14">
      <c r="A75" s="264" t="s">
        <v>338</v>
      </c>
      <c r="C75" s="264" t="s">
        <v>342</v>
      </c>
      <c r="D75" s="83">
        <v>170.34</v>
      </c>
      <c r="E75" s="198"/>
      <c r="F75" s="198"/>
      <c r="G75" s="198"/>
      <c r="H75" s="228"/>
      <c r="I75" s="287"/>
      <c r="J75" s="228"/>
      <c r="K75" s="228"/>
      <c r="L75" s="228"/>
      <c r="M75" s="228"/>
      <c r="N75" s="228"/>
    </row>
    <row r="76" spans="1:14">
      <c r="A76" s="290" t="s">
        <v>607</v>
      </c>
      <c r="B76" s="229">
        <v>1</v>
      </c>
      <c r="C76" s="264"/>
      <c r="D76" s="83"/>
      <c r="E76" s="198"/>
      <c r="F76" s="198"/>
      <c r="G76" s="198"/>
      <c r="H76" s="228"/>
      <c r="I76" s="287"/>
      <c r="J76" s="228"/>
      <c r="K76" s="228"/>
      <c r="L76" s="228"/>
      <c r="M76" s="228"/>
      <c r="N76" s="228"/>
    </row>
    <row r="77" spans="1:14" hidden="1">
      <c r="A77" s="233" t="s">
        <v>1032</v>
      </c>
      <c r="C77" s="233" t="s">
        <v>467</v>
      </c>
      <c r="D77" s="271">
        <v>54.091999999999999</v>
      </c>
      <c r="E77" s="198"/>
      <c r="F77" s="198"/>
      <c r="G77" s="198"/>
      <c r="H77" s="228"/>
      <c r="I77" s="287"/>
      <c r="J77" s="228"/>
      <c r="K77" s="228"/>
      <c r="L77" s="228"/>
      <c r="M77" s="228"/>
      <c r="N77" s="228"/>
    </row>
    <row r="78" spans="1:14" hidden="1">
      <c r="A78" s="233" t="s">
        <v>471</v>
      </c>
      <c r="B78" s="295"/>
      <c r="C78" s="233" t="s">
        <v>469</v>
      </c>
      <c r="D78" s="271">
        <v>98.96</v>
      </c>
      <c r="E78" s="198"/>
      <c r="F78" s="198"/>
      <c r="G78" s="198"/>
      <c r="H78" s="228"/>
      <c r="I78" s="287"/>
      <c r="J78" s="228"/>
      <c r="K78" s="228"/>
      <c r="L78" s="228"/>
      <c r="M78" s="228"/>
      <c r="N78" s="228"/>
    </row>
    <row r="79" spans="1:14" hidden="1">
      <c r="A79" s="264" t="s">
        <v>470</v>
      </c>
      <c r="C79" s="233" t="s">
        <v>472</v>
      </c>
      <c r="D79" s="271">
        <v>54.091999999999999</v>
      </c>
      <c r="E79" s="198"/>
      <c r="F79" s="198"/>
      <c r="G79" s="198"/>
      <c r="H79" s="228"/>
      <c r="I79" s="287"/>
      <c r="J79" s="228"/>
      <c r="K79" s="228"/>
      <c r="L79" s="228"/>
      <c r="M79" s="228"/>
      <c r="N79" s="228"/>
    </row>
    <row r="80" spans="1:14" hidden="1">
      <c r="A80" s="264" t="s">
        <v>473</v>
      </c>
      <c r="C80" s="233" t="s">
        <v>474</v>
      </c>
      <c r="D80" s="83">
        <v>98.188999999999993</v>
      </c>
      <c r="E80" s="198"/>
      <c r="F80" s="198"/>
      <c r="G80" s="198"/>
      <c r="H80" s="228"/>
      <c r="I80" s="287"/>
      <c r="J80" s="228"/>
      <c r="K80" s="228"/>
      <c r="L80" s="228"/>
      <c r="M80" s="228"/>
      <c r="N80" s="228"/>
    </row>
    <row r="81" spans="1:14" hidden="1">
      <c r="A81" s="264" t="s">
        <v>475</v>
      </c>
      <c r="C81" s="233" t="s">
        <v>476</v>
      </c>
      <c r="D81" s="83">
        <v>84.162000000000006</v>
      </c>
      <c r="E81" s="198"/>
      <c r="F81" s="198"/>
      <c r="G81" s="198"/>
      <c r="H81" s="228"/>
      <c r="I81" s="287"/>
      <c r="J81" s="228"/>
      <c r="K81" s="228"/>
      <c r="L81" s="228"/>
      <c r="M81" s="228"/>
      <c r="N81" s="228"/>
    </row>
    <row r="82" spans="1:14" hidden="1">
      <c r="A82" s="264" t="s">
        <v>477</v>
      </c>
      <c r="C82" s="233" t="s">
        <v>478</v>
      </c>
      <c r="D82" s="83">
        <v>70.135000000000005</v>
      </c>
      <c r="E82" s="198"/>
      <c r="F82" s="198"/>
      <c r="G82" s="198"/>
      <c r="H82" s="228"/>
      <c r="I82" s="287"/>
      <c r="J82" s="228"/>
      <c r="K82" s="228"/>
      <c r="L82" s="228"/>
      <c r="M82" s="228"/>
      <c r="N82" s="228"/>
    </row>
    <row r="83" spans="1:14" hidden="1">
      <c r="A83" s="233" t="s">
        <v>1034</v>
      </c>
      <c r="C83" s="233" t="s">
        <v>480</v>
      </c>
      <c r="D83" s="271">
        <v>86.177999999999997</v>
      </c>
      <c r="E83" s="198"/>
      <c r="F83" s="198"/>
      <c r="G83" s="198"/>
      <c r="H83" s="228"/>
      <c r="I83" s="287"/>
      <c r="J83" s="228"/>
      <c r="K83" s="228"/>
      <c r="L83" s="228"/>
      <c r="M83" s="228"/>
      <c r="N83" s="228"/>
    </row>
    <row r="84" spans="1:14" hidden="1">
      <c r="A84" s="233" t="s">
        <v>1035</v>
      </c>
      <c r="C84" s="233" t="s">
        <v>482</v>
      </c>
      <c r="D84" s="271">
        <v>86.177999999999997</v>
      </c>
      <c r="E84" s="198"/>
      <c r="F84" s="198"/>
      <c r="G84" s="198"/>
      <c r="H84" s="228"/>
      <c r="I84" s="287"/>
      <c r="J84" s="228"/>
      <c r="K84" s="228"/>
      <c r="L84" s="228"/>
      <c r="M84" s="228"/>
      <c r="N84" s="228"/>
    </row>
    <row r="85" spans="1:14" hidden="1">
      <c r="A85" s="233" t="s">
        <v>1036</v>
      </c>
      <c r="C85" s="233" t="s">
        <v>484</v>
      </c>
      <c r="D85" s="271">
        <v>70.135000000000005</v>
      </c>
      <c r="E85" s="198"/>
      <c r="F85" s="198"/>
      <c r="G85" s="198"/>
      <c r="H85" s="228"/>
      <c r="I85" s="287"/>
      <c r="J85" s="228"/>
      <c r="K85" s="228"/>
      <c r="L85" s="228"/>
      <c r="M85" s="228"/>
      <c r="N85" s="228"/>
    </row>
    <row r="86" spans="1:14" hidden="1">
      <c r="A86" s="233" t="s">
        <v>1037</v>
      </c>
      <c r="C86" s="233" t="s">
        <v>486</v>
      </c>
      <c r="D86" s="83">
        <v>70.135000000000005</v>
      </c>
      <c r="E86" s="198"/>
      <c r="F86" s="198"/>
      <c r="G86" s="198"/>
      <c r="H86" s="228"/>
      <c r="I86" s="287"/>
      <c r="J86" s="228"/>
      <c r="K86" s="228"/>
      <c r="L86" s="228"/>
      <c r="M86" s="228"/>
      <c r="N86" s="228"/>
    </row>
    <row r="87" spans="1:14" hidden="1">
      <c r="A87" s="264" t="s">
        <v>487</v>
      </c>
      <c r="C87" s="233" t="s">
        <v>488</v>
      </c>
      <c r="D87" s="83">
        <v>86.177999999999997</v>
      </c>
      <c r="E87" s="198"/>
      <c r="F87" s="198"/>
      <c r="G87" s="198"/>
      <c r="H87" s="228"/>
      <c r="I87" s="287"/>
      <c r="J87" s="228"/>
      <c r="K87" s="228"/>
      <c r="L87" s="228"/>
      <c r="M87" s="228"/>
      <c r="N87" s="228"/>
    </row>
    <row r="88" spans="1:14" hidden="1">
      <c r="A88" s="233" t="s">
        <v>1038</v>
      </c>
      <c r="C88" s="233" t="s">
        <v>490</v>
      </c>
      <c r="D88" s="83">
        <v>70.135000000000005</v>
      </c>
      <c r="E88" s="198"/>
      <c r="F88" s="198"/>
      <c r="G88" s="198"/>
      <c r="H88" s="228"/>
      <c r="I88" s="287"/>
      <c r="J88" s="228"/>
      <c r="K88" s="228"/>
      <c r="L88" s="228"/>
      <c r="M88" s="228"/>
      <c r="N88" s="228"/>
    </row>
    <row r="89" spans="1:14" hidden="1">
      <c r="A89" s="264" t="s">
        <v>491</v>
      </c>
      <c r="C89" s="233" t="s">
        <v>492</v>
      </c>
      <c r="D89" s="83">
        <v>86.177999999999997</v>
      </c>
      <c r="E89" s="198"/>
      <c r="F89" s="198"/>
      <c r="G89" s="198"/>
      <c r="H89" s="228"/>
      <c r="I89" s="287"/>
      <c r="J89" s="228"/>
      <c r="K89" s="228"/>
      <c r="L89" s="228"/>
      <c r="M89" s="228"/>
      <c r="N89" s="228"/>
    </row>
    <row r="90" spans="1:14" hidden="1">
      <c r="A90" s="264" t="s">
        <v>493</v>
      </c>
      <c r="C90" s="233" t="s">
        <v>494</v>
      </c>
      <c r="D90" s="83">
        <v>84.162000000000006</v>
      </c>
      <c r="E90" s="198"/>
      <c r="F90" s="198"/>
      <c r="G90" s="198"/>
      <c r="H90" s="228"/>
      <c r="I90" s="287"/>
      <c r="J90" s="228"/>
      <c r="K90" s="228"/>
      <c r="L90" s="228"/>
      <c r="M90" s="228"/>
      <c r="N90" s="228"/>
    </row>
    <row r="91" spans="1:14" hidden="1">
      <c r="A91" s="264" t="s">
        <v>495</v>
      </c>
      <c r="C91" s="233" t="s">
        <v>496</v>
      </c>
      <c r="D91" s="83">
        <v>72.063999999999993</v>
      </c>
      <c r="E91" s="198"/>
      <c r="F91" s="198"/>
      <c r="G91" s="198"/>
      <c r="H91" s="228"/>
      <c r="I91" s="287"/>
      <c r="J91" s="228"/>
      <c r="K91" s="228"/>
      <c r="L91" s="228"/>
      <c r="M91" s="228"/>
      <c r="N91" s="228"/>
    </row>
    <row r="92" spans="1:14" hidden="1">
      <c r="A92" s="264" t="s">
        <v>497</v>
      </c>
      <c r="C92" s="233" t="s">
        <v>498</v>
      </c>
      <c r="D92" s="83">
        <v>39.948</v>
      </c>
      <c r="E92" s="198"/>
      <c r="F92" s="198"/>
      <c r="G92" s="198"/>
      <c r="H92" s="228"/>
      <c r="I92" s="287"/>
      <c r="J92" s="228"/>
      <c r="K92" s="228"/>
      <c r="L92" s="228"/>
      <c r="M92" s="228"/>
      <c r="N92" s="228"/>
    </row>
    <row r="93" spans="1:14" hidden="1">
      <c r="A93" s="264" t="s">
        <v>499</v>
      </c>
      <c r="C93" s="233" t="s">
        <v>500</v>
      </c>
      <c r="D93" s="83">
        <v>60.07</v>
      </c>
      <c r="E93" s="198"/>
      <c r="F93" s="198"/>
      <c r="G93" s="198"/>
      <c r="H93" s="228"/>
      <c r="I93" s="287"/>
      <c r="J93" s="228"/>
      <c r="K93" s="228"/>
      <c r="L93" s="228"/>
      <c r="M93" s="228"/>
      <c r="N93" s="228"/>
    </row>
    <row r="94" spans="1:14" hidden="1">
      <c r="A94" s="264" t="s">
        <v>501</v>
      </c>
      <c r="C94" s="233" t="s">
        <v>502</v>
      </c>
      <c r="D94" s="83">
        <v>70.906000000000006</v>
      </c>
      <c r="E94" s="198"/>
      <c r="F94" s="198"/>
      <c r="G94" s="198"/>
      <c r="H94" s="228"/>
      <c r="I94" s="287"/>
      <c r="J94" s="228"/>
      <c r="K94" s="228"/>
      <c r="L94" s="228"/>
      <c r="M94" s="228"/>
      <c r="N94" s="228"/>
    </row>
    <row r="95" spans="1:14" hidden="1">
      <c r="A95" s="264" t="s">
        <v>503</v>
      </c>
      <c r="C95" s="233" t="s">
        <v>504</v>
      </c>
      <c r="D95" s="83">
        <v>56.107999999999997</v>
      </c>
      <c r="E95" s="198"/>
      <c r="F95" s="198"/>
      <c r="G95" s="198"/>
      <c r="H95" s="228"/>
      <c r="I95" s="287"/>
      <c r="J95" s="228"/>
      <c r="K95" s="228"/>
      <c r="L95" s="228"/>
      <c r="M95" s="228"/>
      <c r="N95" s="228"/>
    </row>
    <row r="96" spans="1:14" hidden="1">
      <c r="A96" s="264" t="s">
        <v>505</v>
      </c>
      <c r="C96" s="233" t="s">
        <v>506</v>
      </c>
      <c r="D96" s="83">
        <v>70.135000000000005</v>
      </c>
      <c r="E96" s="198"/>
      <c r="F96" s="198"/>
      <c r="G96" s="198"/>
      <c r="H96" s="228"/>
      <c r="I96" s="287"/>
      <c r="J96" s="228"/>
      <c r="K96" s="228"/>
      <c r="L96" s="228"/>
      <c r="M96" s="228"/>
      <c r="N96" s="228"/>
    </row>
    <row r="97" spans="1:14" hidden="1">
      <c r="A97" s="264" t="s">
        <v>507</v>
      </c>
      <c r="C97" s="233" t="s">
        <v>508</v>
      </c>
      <c r="D97" s="83">
        <v>84.933000000000007</v>
      </c>
      <c r="E97" s="198"/>
      <c r="F97" s="198"/>
      <c r="G97" s="198"/>
      <c r="H97" s="228"/>
      <c r="I97" s="287"/>
      <c r="J97" s="228"/>
      <c r="K97" s="228"/>
      <c r="L97" s="228"/>
      <c r="M97" s="228"/>
      <c r="N97" s="228"/>
    </row>
    <row r="98" spans="1:14" hidden="1">
      <c r="A98" s="264" t="s">
        <v>509</v>
      </c>
      <c r="C98" s="233" t="s">
        <v>510</v>
      </c>
      <c r="D98" s="83">
        <v>90.183999999999997</v>
      </c>
      <c r="E98" s="198"/>
      <c r="F98" s="198"/>
      <c r="G98" s="198"/>
      <c r="H98" s="228"/>
      <c r="I98" s="287"/>
      <c r="J98" s="228"/>
      <c r="K98" s="228"/>
      <c r="L98" s="228"/>
      <c r="M98" s="228"/>
      <c r="N98" s="228"/>
    </row>
    <row r="99" spans="1:14" hidden="1">
      <c r="A99" s="264" t="s">
        <v>511</v>
      </c>
      <c r="C99" s="233" t="s">
        <v>512</v>
      </c>
      <c r="D99" s="83">
        <v>52.024000000000001</v>
      </c>
      <c r="E99" s="198"/>
      <c r="F99" s="198"/>
      <c r="G99" s="198"/>
      <c r="H99" s="228"/>
      <c r="I99" s="287"/>
      <c r="J99" s="228"/>
      <c r="K99" s="228"/>
      <c r="L99" s="228"/>
      <c r="M99" s="228"/>
      <c r="N99" s="228"/>
    </row>
    <row r="100" spans="1:14" hidden="1">
      <c r="A100" s="233" t="s">
        <v>1043</v>
      </c>
      <c r="C100" s="233" t="s">
        <v>514</v>
      </c>
      <c r="D100" s="83">
        <v>112.98699999999999</v>
      </c>
      <c r="E100" s="198"/>
      <c r="F100" s="198"/>
      <c r="G100" s="198"/>
      <c r="H100" s="228"/>
      <c r="I100" s="287"/>
      <c r="J100" s="228"/>
      <c r="K100" s="228"/>
      <c r="L100" s="228"/>
      <c r="M100" s="228"/>
      <c r="N100" s="228"/>
    </row>
    <row r="101" spans="1:14" hidden="1">
      <c r="A101" s="264" t="s">
        <v>515</v>
      </c>
      <c r="C101" s="233" t="s">
        <v>516</v>
      </c>
      <c r="D101" s="83">
        <v>46.069000000000003</v>
      </c>
      <c r="E101" s="198"/>
      <c r="F101" s="198"/>
      <c r="G101" s="198"/>
      <c r="H101" s="228"/>
      <c r="I101" s="287"/>
      <c r="J101" s="228"/>
      <c r="K101" s="228"/>
      <c r="L101" s="228"/>
      <c r="M101" s="228"/>
      <c r="N101" s="228"/>
    </row>
    <row r="102" spans="1:14" hidden="1">
      <c r="A102" s="264" t="s">
        <v>517</v>
      </c>
      <c r="C102" s="233" t="s">
        <v>518</v>
      </c>
      <c r="D102" s="83">
        <v>100.11799999999999</v>
      </c>
      <c r="E102" s="198"/>
      <c r="F102" s="198"/>
      <c r="G102" s="198"/>
      <c r="H102" s="228"/>
      <c r="I102" s="287"/>
      <c r="J102" s="228"/>
      <c r="K102" s="228"/>
      <c r="L102" s="228"/>
      <c r="M102" s="228"/>
      <c r="N102" s="228"/>
    </row>
    <row r="103" spans="1:14" hidden="1">
      <c r="A103" s="264" t="s">
        <v>519</v>
      </c>
      <c r="C103" s="233" t="s">
        <v>520</v>
      </c>
      <c r="D103" s="83">
        <v>106.16800000000001</v>
      </c>
      <c r="E103" s="198"/>
      <c r="F103" s="198"/>
      <c r="G103" s="198"/>
      <c r="H103" s="228"/>
      <c r="I103" s="287"/>
      <c r="J103" s="228"/>
      <c r="K103" s="228"/>
      <c r="L103" s="228"/>
      <c r="M103" s="228"/>
      <c r="N103" s="228"/>
    </row>
    <row r="104" spans="1:14" hidden="1">
      <c r="A104" s="264" t="s">
        <v>521</v>
      </c>
      <c r="C104" s="233" t="s">
        <v>522</v>
      </c>
      <c r="D104" s="83">
        <v>44.052999999999997</v>
      </c>
      <c r="E104" s="198"/>
      <c r="F104" s="198"/>
      <c r="G104" s="198"/>
      <c r="H104" s="228"/>
      <c r="I104" s="287"/>
      <c r="J104" s="228"/>
      <c r="K104" s="228"/>
      <c r="L104" s="228"/>
      <c r="M104" s="228"/>
      <c r="N104" s="228"/>
    </row>
    <row r="105" spans="1:14" hidden="1">
      <c r="A105" s="264" t="s">
        <v>523</v>
      </c>
      <c r="C105" s="233" t="s">
        <v>524</v>
      </c>
      <c r="D105" s="83">
        <v>62.134</v>
      </c>
      <c r="E105" s="198"/>
      <c r="F105" s="198"/>
      <c r="G105" s="198"/>
      <c r="H105" s="228"/>
      <c r="I105" s="287"/>
      <c r="J105" s="228"/>
      <c r="K105" s="228"/>
      <c r="L105" s="228"/>
      <c r="M105" s="228"/>
      <c r="N105" s="228"/>
    </row>
    <row r="106" spans="1:14" hidden="1">
      <c r="A106" s="264" t="s">
        <v>525</v>
      </c>
      <c r="C106" s="233" t="s">
        <v>526</v>
      </c>
      <c r="D106" s="83">
        <v>170.922</v>
      </c>
      <c r="E106" s="198"/>
      <c r="F106" s="198"/>
      <c r="G106" s="198"/>
      <c r="H106" s="228"/>
      <c r="I106" s="287"/>
      <c r="J106" s="228"/>
      <c r="K106" s="228"/>
      <c r="L106" s="228"/>
      <c r="M106" s="228"/>
      <c r="N106" s="228"/>
    </row>
    <row r="107" spans="1:14" hidden="1">
      <c r="A107" s="264" t="s">
        <v>527</v>
      </c>
      <c r="C107" s="233" t="s">
        <v>528</v>
      </c>
      <c r="D107" s="83">
        <v>120.914</v>
      </c>
      <c r="E107" s="198"/>
      <c r="F107" s="198"/>
      <c r="G107" s="198"/>
      <c r="H107" s="228"/>
      <c r="I107" s="287"/>
      <c r="J107" s="228"/>
      <c r="K107" s="228"/>
      <c r="L107" s="228"/>
      <c r="M107" s="228"/>
      <c r="N107" s="228"/>
    </row>
    <row r="108" spans="1:14" hidden="1">
      <c r="A108" s="264" t="s">
        <v>529</v>
      </c>
      <c r="C108" s="233" t="s">
        <v>530</v>
      </c>
      <c r="D108" s="83">
        <v>104.459</v>
      </c>
      <c r="E108" s="198"/>
      <c r="F108" s="198"/>
      <c r="G108" s="198"/>
      <c r="H108" s="228"/>
      <c r="I108" s="287"/>
      <c r="J108" s="228"/>
      <c r="K108" s="228"/>
      <c r="L108" s="228"/>
      <c r="M108" s="228"/>
      <c r="N108" s="228"/>
    </row>
    <row r="109" spans="1:14" hidden="1">
      <c r="A109" s="264" t="s">
        <v>531</v>
      </c>
      <c r="C109" s="233" t="s">
        <v>532</v>
      </c>
      <c r="D109" s="83">
        <v>86.468999999999994</v>
      </c>
      <c r="E109" s="198"/>
      <c r="F109" s="198"/>
      <c r="G109" s="198"/>
      <c r="H109" s="228"/>
      <c r="I109" s="287"/>
      <c r="J109" s="228"/>
      <c r="K109" s="228"/>
      <c r="L109" s="228"/>
      <c r="M109" s="228"/>
      <c r="N109" s="228"/>
    </row>
    <row r="110" spans="1:14" hidden="1">
      <c r="A110" s="264" t="s">
        <v>533</v>
      </c>
      <c r="B110" s="233"/>
      <c r="C110" s="233" t="s">
        <v>237</v>
      </c>
      <c r="D110" s="83">
        <v>4.0030000000000001</v>
      </c>
      <c r="E110" s="198"/>
      <c r="F110" s="198"/>
      <c r="G110" s="198"/>
      <c r="H110" s="228"/>
      <c r="I110" s="287"/>
      <c r="J110" s="228"/>
      <c r="K110" s="228"/>
      <c r="L110" s="228"/>
      <c r="M110" s="228"/>
      <c r="N110" s="228"/>
    </row>
    <row r="111" spans="1:14" hidden="1">
      <c r="A111" s="264" t="s">
        <v>534</v>
      </c>
      <c r="C111" s="233" t="s">
        <v>535</v>
      </c>
      <c r="D111" s="83">
        <v>36.460999999999999</v>
      </c>
      <c r="E111" s="198"/>
      <c r="F111" s="198"/>
      <c r="G111" s="198"/>
      <c r="H111" s="228"/>
      <c r="I111" s="287"/>
      <c r="J111" s="228"/>
      <c r="K111" s="228"/>
      <c r="L111" s="228"/>
      <c r="M111" s="228"/>
      <c r="N111" s="228"/>
    </row>
    <row r="112" spans="1:14" hidden="1">
      <c r="A112" s="233" t="s">
        <v>1040</v>
      </c>
      <c r="C112" s="233" t="s">
        <v>537</v>
      </c>
      <c r="D112" s="83">
        <v>78.542000000000002</v>
      </c>
      <c r="E112" s="198"/>
      <c r="F112" s="198"/>
      <c r="G112" s="198"/>
      <c r="H112" s="228"/>
      <c r="I112" s="287"/>
      <c r="J112" s="228"/>
      <c r="K112" s="228"/>
      <c r="L112" s="228"/>
      <c r="M112" s="228"/>
      <c r="N112" s="228"/>
    </row>
    <row r="113" spans="1:14" hidden="1">
      <c r="A113" s="264" t="s">
        <v>538</v>
      </c>
      <c r="C113" s="233" t="s">
        <v>539</v>
      </c>
      <c r="D113" s="83">
        <v>74.123000000000005</v>
      </c>
      <c r="E113" s="198"/>
      <c r="F113" s="198"/>
      <c r="G113" s="198"/>
      <c r="H113" s="228"/>
      <c r="I113" s="287"/>
      <c r="J113" s="228"/>
      <c r="K113" s="228"/>
      <c r="L113" s="228"/>
      <c r="M113" s="228"/>
      <c r="N113" s="228"/>
    </row>
    <row r="114" spans="1:14" hidden="1">
      <c r="A114" s="264" t="s">
        <v>540</v>
      </c>
      <c r="C114" s="233" t="s">
        <v>494</v>
      </c>
      <c r="D114" s="83">
        <v>84.162000000000006</v>
      </c>
      <c r="E114" s="198"/>
      <c r="F114" s="198"/>
      <c r="G114" s="198"/>
      <c r="H114" s="228"/>
      <c r="I114" s="287"/>
      <c r="J114" s="228"/>
      <c r="K114" s="228"/>
      <c r="L114" s="228"/>
      <c r="M114" s="228"/>
      <c r="N114" s="228"/>
    </row>
    <row r="115" spans="1:14" hidden="1">
      <c r="A115" s="264" t="s">
        <v>541</v>
      </c>
      <c r="C115" s="233" t="s">
        <v>542</v>
      </c>
      <c r="D115" s="83">
        <v>60.095999999999997</v>
      </c>
      <c r="E115" s="198"/>
      <c r="F115" s="198"/>
      <c r="G115" s="198"/>
      <c r="H115" s="228"/>
      <c r="I115" s="287"/>
      <c r="J115" s="228"/>
      <c r="K115" s="228"/>
      <c r="L115" s="228"/>
      <c r="M115" s="228"/>
      <c r="N115" s="228"/>
    </row>
    <row r="116" spans="1:14" hidden="1">
      <c r="A116" s="264" t="s">
        <v>543</v>
      </c>
      <c r="C116" s="233" t="s">
        <v>544</v>
      </c>
      <c r="D116" s="83">
        <v>32.042000000000002</v>
      </c>
      <c r="E116" s="198"/>
      <c r="F116" s="198"/>
      <c r="G116" s="198"/>
      <c r="H116" s="228"/>
      <c r="I116" s="287"/>
      <c r="J116" s="228"/>
      <c r="K116" s="228"/>
      <c r="L116" s="228"/>
      <c r="M116" s="228"/>
      <c r="N116" s="228"/>
    </row>
    <row r="117" spans="1:14" hidden="1">
      <c r="A117" s="264" t="s">
        <v>545</v>
      </c>
      <c r="C117" s="233" t="s">
        <v>546</v>
      </c>
      <c r="D117" s="83">
        <v>86.090999999999994</v>
      </c>
      <c r="E117" s="198"/>
      <c r="F117" s="198"/>
      <c r="G117" s="198"/>
      <c r="H117" s="228"/>
      <c r="I117" s="287"/>
      <c r="J117" s="228"/>
      <c r="K117" s="228"/>
      <c r="L117" s="228"/>
      <c r="M117" s="228"/>
      <c r="N117" s="228"/>
    </row>
    <row r="118" spans="1:14" hidden="1">
      <c r="A118" s="264" t="s">
        <v>547</v>
      </c>
      <c r="C118" s="233" t="s">
        <v>548</v>
      </c>
      <c r="D118" s="83">
        <v>50.488</v>
      </c>
      <c r="E118" s="198"/>
      <c r="F118" s="198"/>
      <c r="G118" s="198"/>
      <c r="H118" s="228"/>
      <c r="I118" s="287"/>
      <c r="J118" s="228"/>
      <c r="K118" s="228"/>
      <c r="L118" s="228"/>
      <c r="M118" s="228"/>
      <c r="N118" s="228"/>
    </row>
    <row r="119" spans="1:14" hidden="1">
      <c r="A119" s="264" t="s">
        <v>549</v>
      </c>
      <c r="C119" s="233" t="s">
        <v>550</v>
      </c>
      <c r="D119" s="83">
        <v>74.08</v>
      </c>
      <c r="E119" s="198"/>
      <c r="F119" s="198"/>
      <c r="G119" s="198"/>
      <c r="H119" s="228"/>
      <c r="I119" s="287"/>
      <c r="J119" s="228"/>
      <c r="K119" s="228"/>
      <c r="L119" s="228"/>
      <c r="M119" s="228"/>
      <c r="N119" s="228"/>
    </row>
    <row r="120" spans="1:14" hidden="1">
      <c r="A120" s="264" t="s">
        <v>551</v>
      </c>
      <c r="C120" s="233" t="s">
        <v>552</v>
      </c>
      <c r="D120" s="83">
        <v>40.064999999999998</v>
      </c>
      <c r="E120" s="198"/>
      <c r="F120" s="198"/>
      <c r="G120" s="198"/>
      <c r="H120" s="228"/>
      <c r="I120" s="287"/>
      <c r="J120" s="228"/>
      <c r="K120" s="228"/>
      <c r="L120" s="228"/>
      <c r="M120" s="228"/>
      <c r="N120" s="228"/>
    </row>
    <row r="121" spans="1:14" hidden="1">
      <c r="A121" s="233" t="s">
        <v>1041</v>
      </c>
      <c r="C121" s="233" t="s">
        <v>554</v>
      </c>
      <c r="D121" s="83">
        <v>72.106999999999999</v>
      </c>
      <c r="E121" s="198"/>
      <c r="F121" s="198"/>
      <c r="G121" s="198"/>
      <c r="H121" s="228"/>
      <c r="I121" s="287"/>
      <c r="J121" s="228"/>
      <c r="K121" s="228"/>
      <c r="L121" s="228"/>
      <c r="M121" s="228"/>
      <c r="N121" s="228"/>
    </row>
    <row r="122" spans="1:14" hidden="1">
      <c r="A122" s="264" t="s">
        <v>555</v>
      </c>
      <c r="C122" s="233" t="s">
        <v>556</v>
      </c>
      <c r="D122" s="83">
        <v>76.156999999999996</v>
      </c>
      <c r="E122" s="198"/>
      <c r="F122" s="198"/>
      <c r="G122" s="198"/>
      <c r="H122" s="228"/>
      <c r="I122" s="287"/>
      <c r="J122" s="228"/>
      <c r="K122" s="228"/>
      <c r="L122" s="228"/>
      <c r="M122" s="228"/>
      <c r="N122" s="228"/>
    </row>
    <row r="123" spans="1:14" hidden="1">
      <c r="A123" s="264" t="s">
        <v>557</v>
      </c>
      <c r="C123" s="233" t="s">
        <v>558</v>
      </c>
      <c r="D123" s="83">
        <v>48.106999999999999</v>
      </c>
      <c r="E123" s="198"/>
      <c r="F123" s="198"/>
      <c r="G123" s="198"/>
      <c r="H123" s="228"/>
      <c r="I123" s="287"/>
      <c r="J123" s="228"/>
      <c r="K123" s="228"/>
      <c r="L123" s="228"/>
      <c r="M123" s="228"/>
      <c r="N123" s="228"/>
    </row>
    <row r="124" spans="1:14" hidden="1">
      <c r="A124" s="264" t="s">
        <v>559</v>
      </c>
      <c r="C124" s="233" t="s">
        <v>560</v>
      </c>
      <c r="D124" s="83">
        <v>106.16800000000001</v>
      </c>
      <c r="E124" s="198"/>
      <c r="F124" s="198"/>
      <c r="G124" s="198"/>
      <c r="H124" s="228"/>
      <c r="I124" s="287"/>
      <c r="J124" s="228"/>
      <c r="K124" s="228"/>
      <c r="L124" s="228"/>
      <c r="M124" s="228"/>
      <c r="N124" s="228"/>
    </row>
    <row r="125" spans="1:14" hidden="1">
      <c r="A125" s="264" t="s">
        <v>561</v>
      </c>
      <c r="C125" s="233" t="s">
        <v>562</v>
      </c>
      <c r="D125" s="83">
        <v>74.123000000000005</v>
      </c>
      <c r="E125" s="198"/>
      <c r="F125" s="198"/>
      <c r="G125" s="198"/>
      <c r="H125" s="228"/>
      <c r="I125" s="287"/>
      <c r="J125" s="228"/>
      <c r="K125" s="228"/>
      <c r="L125" s="228"/>
      <c r="M125" s="228"/>
      <c r="N125" s="228"/>
    </row>
    <row r="126" spans="1:14" hidden="1">
      <c r="A126" s="264" t="s">
        <v>563</v>
      </c>
      <c r="C126" s="233" t="s">
        <v>564</v>
      </c>
      <c r="D126" s="83">
        <v>30.006</v>
      </c>
      <c r="E126" s="198"/>
      <c r="F126" s="198"/>
      <c r="G126" s="198"/>
      <c r="H126" s="228"/>
      <c r="I126" s="287"/>
      <c r="J126" s="228"/>
      <c r="K126" s="228"/>
      <c r="L126" s="228"/>
      <c r="M126" s="228"/>
      <c r="N126" s="228"/>
    </row>
    <row r="127" spans="1:14" hidden="1">
      <c r="A127" s="264" t="s">
        <v>565</v>
      </c>
      <c r="C127" s="233" t="s">
        <v>566</v>
      </c>
      <c r="D127" s="83">
        <v>46.006</v>
      </c>
      <c r="E127" s="198"/>
      <c r="F127" s="198"/>
      <c r="G127" s="198"/>
      <c r="H127" s="228"/>
      <c r="I127" s="287"/>
      <c r="J127" s="228"/>
      <c r="K127" s="228"/>
      <c r="L127" s="228"/>
      <c r="M127" s="228"/>
      <c r="N127" s="228"/>
    </row>
    <row r="128" spans="1:14" hidden="1">
      <c r="A128" s="264" t="s">
        <v>567</v>
      </c>
      <c r="C128" s="233" t="s">
        <v>568</v>
      </c>
      <c r="D128" s="83">
        <v>92.010999999999996</v>
      </c>
      <c r="E128" s="198"/>
      <c r="F128" s="198"/>
      <c r="G128" s="198"/>
      <c r="H128" s="228"/>
      <c r="I128" s="287"/>
      <c r="J128" s="228"/>
      <c r="K128" s="228"/>
      <c r="L128" s="228"/>
      <c r="M128" s="228"/>
      <c r="N128" s="228"/>
    </row>
    <row r="129" spans="1:14" hidden="1">
      <c r="A129" s="264" t="s">
        <v>569</v>
      </c>
      <c r="C129" s="233" t="s">
        <v>570</v>
      </c>
      <c r="D129" s="83">
        <v>184.36699999999999</v>
      </c>
      <c r="E129" s="198"/>
      <c r="F129" s="198"/>
      <c r="G129" s="198"/>
      <c r="H129" s="228"/>
      <c r="I129" s="287"/>
      <c r="J129" s="228"/>
      <c r="K129" s="228"/>
      <c r="L129" s="228"/>
      <c r="M129" s="228"/>
      <c r="N129" s="228"/>
    </row>
    <row r="130" spans="1:14" hidden="1">
      <c r="A130" s="264" t="s">
        <v>571</v>
      </c>
      <c r="C130" s="233" t="s">
        <v>572</v>
      </c>
      <c r="D130" s="83">
        <v>106.16800000000001</v>
      </c>
      <c r="E130" s="198"/>
      <c r="F130" s="198"/>
      <c r="G130" s="198"/>
      <c r="H130" s="228"/>
      <c r="I130" s="287"/>
      <c r="J130" s="228"/>
      <c r="K130" s="228"/>
      <c r="L130" s="228"/>
      <c r="M130" s="228"/>
      <c r="N130" s="228"/>
    </row>
    <row r="131" spans="1:14" hidden="1">
      <c r="A131" s="264" t="s">
        <v>573</v>
      </c>
      <c r="C131" s="233" t="s">
        <v>574</v>
      </c>
      <c r="D131" s="83">
        <v>120.02200000000001</v>
      </c>
      <c r="E131" s="198"/>
      <c r="F131" s="198"/>
      <c r="G131" s="198"/>
      <c r="H131" s="228"/>
      <c r="I131" s="287"/>
      <c r="J131" s="228"/>
      <c r="K131" s="228"/>
      <c r="L131" s="228"/>
      <c r="M131" s="228"/>
      <c r="N131" s="228"/>
    </row>
    <row r="132" spans="1:14" hidden="1">
      <c r="A132" s="264" t="s">
        <v>575</v>
      </c>
      <c r="C132" s="233" t="s">
        <v>576</v>
      </c>
      <c r="D132" s="83">
        <v>40.064999999999998</v>
      </c>
      <c r="E132" s="198"/>
      <c r="F132" s="198"/>
      <c r="G132" s="198"/>
      <c r="H132" s="228"/>
      <c r="I132" s="287"/>
      <c r="J132" s="228"/>
      <c r="K132" s="228"/>
      <c r="L132" s="228"/>
      <c r="M132" s="228"/>
      <c r="N132" s="228"/>
    </row>
    <row r="133" spans="1:14" hidden="1">
      <c r="A133" s="264" t="s">
        <v>577</v>
      </c>
      <c r="C133" s="233" t="s">
        <v>578</v>
      </c>
      <c r="D133" s="83">
        <v>60.095999999999997</v>
      </c>
      <c r="E133" s="198"/>
      <c r="F133" s="198"/>
      <c r="G133" s="198"/>
      <c r="H133" s="228"/>
      <c r="I133" s="287"/>
      <c r="J133" s="228"/>
      <c r="K133" s="228"/>
      <c r="L133" s="228"/>
      <c r="M133" s="228"/>
      <c r="N133" s="228"/>
    </row>
    <row r="134" spans="1:14" hidden="1">
      <c r="A134" s="264" t="s">
        <v>579</v>
      </c>
      <c r="C134" s="233" t="s">
        <v>580</v>
      </c>
      <c r="D134" s="83">
        <v>78.542000000000002</v>
      </c>
      <c r="E134" s="198"/>
      <c r="F134" s="198"/>
      <c r="G134" s="198"/>
      <c r="H134" s="228"/>
      <c r="I134" s="287"/>
      <c r="J134" s="228"/>
      <c r="K134" s="228"/>
      <c r="L134" s="228"/>
      <c r="M134" s="228"/>
      <c r="N134" s="228"/>
    </row>
    <row r="135" spans="1:14" hidden="1">
      <c r="A135" s="264" t="s">
        <v>513</v>
      </c>
      <c r="C135" s="233" t="s">
        <v>514</v>
      </c>
      <c r="D135" s="83">
        <v>112.98699999999999</v>
      </c>
      <c r="E135" s="198"/>
      <c r="F135" s="198"/>
      <c r="G135" s="198"/>
      <c r="H135" s="228"/>
      <c r="I135" s="287"/>
      <c r="J135" s="228"/>
      <c r="K135" s="228"/>
      <c r="L135" s="228"/>
      <c r="M135" s="228"/>
      <c r="N135" s="228"/>
    </row>
    <row r="136" spans="1:14" hidden="1">
      <c r="A136" s="264" t="s">
        <v>581</v>
      </c>
      <c r="C136" s="233" t="s">
        <v>582</v>
      </c>
      <c r="D136" s="83">
        <v>58.08</v>
      </c>
      <c r="E136" s="198"/>
      <c r="F136" s="198"/>
      <c r="G136" s="198"/>
      <c r="H136" s="228"/>
      <c r="I136" s="287"/>
      <c r="J136" s="228"/>
      <c r="K136" s="228"/>
      <c r="L136" s="228"/>
      <c r="M136" s="228"/>
      <c r="N136" s="228"/>
    </row>
    <row r="137" spans="1:14" hidden="1">
      <c r="A137" s="264" t="s">
        <v>583</v>
      </c>
      <c r="C137" s="233" t="s">
        <v>584</v>
      </c>
      <c r="D137" s="83">
        <v>106.16800000000001</v>
      </c>
      <c r="E137" s="198"/>
      <c r="F137" s="198"/>
      <c r="G137" s="198"/>
      <c r="H137" s="228"/>
      <c r="I137" s="287"/>
      <c r="J137" s="228"/>
      <c r="K137" s="228"/>
      <c r="L137" s="228"/>
      <c r="M137" s="228"/>
      <c r="N137" s="228"/>
    </row>
    <row r="138" spans="1:14" hidden="1">
      <c r="A138" s="264" t="s">
        <v>585</v>
      </c>
      <c r="C138" s="233" t="s">
        <v>586</v>
      </c>
      <c r="D138" s="83">
        <v>102</v>
      </c>
      <c r="E138" s="198"/>
      <c r="F138" s="198"/>
      <c r="G138" s="198"/>
      <c r="H138" s="228"/>
      <c r="I138" s="287"/>
      <c r="J138" s="228"/>
      <c r="K138" s="228"/>
      <c r="L138" s="228"/>
      <c r="M138" s="228"/>
      <c r="N138" s="228"/>
    </row>
    <row r="139" spans="1:14" hidden="1">
      <c r="A139" s="264" t="s">
        <v>587</v>
      </c>
      <c r="C139" s="233" t="s">
        <v>588</v>
      </c>
      <c r="D139" s="83">
        <v>72.58</v>
      </c>
      <c r="E139" s="198"/>
      <c r="F139" s="198"/>
      <c r="G139" s="198"/>
      <c r="H139" s="228"/>
      <c r="I139" s="287"/>
      <c r="J139" s="228"/>
      <c r="K139" s="228"/>
      <c r="L139" s="228"/>
      <c r="M139" s="228"/>
      <c r="N139" s="228"/>
    </row>
    <row r="140" spans="1:14" hidden="1">
      <c r="A140" s="264" t="s">
        <v>589</v>
      </c>
      <c r="C140" s="233" t="s">
        <v>590</v>
      </c>
      <c r="D140" s="83">
        <v>100.01600000000001</v>
      </c>
      <c r="E140" s="198"/>
      <c r="F140" s="198"/>
      <c r="G140" s="198"/>
      <c r="H140" s="228"/>
      <c r="I140" s="287"/>
      <c r="J140" s="228"/>
      <c r="K140" s="228"/>
      <c r="L140" s="228"/>
      <c r="M140" s="228"/>
      <c r="N140" s="228"/>
    </row>
    <row r="141" spans="1:14" hidden="1">
      <c r="A141" s="264" t="s">
        <v>591</v>
      </c>
      <c r="C141" s="233" t="s">
        <v>592</v>
      </c>
      <c r="D141" s="83">
        <v>92.141000000000005</v>
      </c>
      <c r="E141" s="198"/>
      <c r="F141" s="198"/>
      <c r="G141" s="198"/>
      <c r="H141" s="228"/>
      <c r="I141" s="287"/>
      <c r="J141" s="228"/>
      <c r="K141" s="228"/>
      <c r="L141" s="228"/>
      <c r="M141" s="228"/>
      <c r="N141" s="228"/>
    </row>
    <row r="142" spans="1:14" hidden="1">
      <c r="A142" s="264" t="s">
        <v>593</v>
      </c>
      <c r="C142" s="233" t="s">
        <v>594</v>
      </c>
      <c r="D142" s="83">
        <v>56.107999999999997</v>
      </c>
      <c r="E142" s="198"/>
      <c r="F142" s="198"/>
      <c r="G142" s="198"/>
      <c r="H142" s="228"/>
      <c r="I142" s="287"/>
      <c r="J142" s="228"/>
      <c r="K142" s="228"/>
      <c r="L142" s="228"/>
      <c r="M142" s="228"/>
      <c r="N142" s="228"/>
    </row>
    <row r="143" spans="1:14" hidden="1">
      <c r="A143" s="264" t="s">
        <v>595</v>
      </c>
      <c r="C143" s="233" t="s">
        <v>596</v>
      </c>
      <c r="D143" s="83">
        <v>70.135000000000005</v>
      </c>
      <c r="E143" s="198"/>
      <c r="F143" s="198"/>
      <c r="G143" s="198"/>
      <c r="H143" s="228"/>
      <c r="I143" s="287"/>
      <c r="J143" s="228"/>
      <c r="K143" s="228"/>
      <c r="L143" s="228"/>
      <c r="M143" s="228"/>
      <c r="N143" s="228"/>
    </row>
    <row r="144" spans="1:14" ht="15" hidden="1" customHeight="1">
      <c r="A144" s="264" t="s">
        <v>597</v>
      </c>
      <c r="C144" s="233" t="s">
        <v>598</v>
      </c>
      <c r="D144" s="83">
        <v>86.090999999999994</v>
      </c>
      <c r="E144" s="198"/>
      <c r="F144" s="198"/>
      <c r="G144" s="198"/>
      <c r="H144" s="228"/>
      <c r="I144" s="287"/>
      <c r="J144" s="228"/>
      <c r="K144" s="228"/>
      <c r="L144" s="228"/>
      <c r="M144" s="228"/>
      <c r="N144" s="228"/>
    </row>
    <row r="145" spans="1:14" ht="12" hidden="1" customHeight="1">
      <c r="A145" s="264" t="s">
        <v>599</v>
      </c>
      <c r="C145" s="233" t="s">
        <v>600</v>
      </c>
      <c r="D145" s="83">
        <v>62.499000000000002</v>
      </c>
      <c r="E145" s="198"/>
      <c r="F145" s="198"/>
      <c r="G145" s="198"/>
      <c r="H145" s="228"/>
      <c r="I145" s="287"/>
      <c r="J145" s="228"/>
      <c r="K145" s="228"/>
      <c r="L145" s="228"/>
      <c r="M145" s="228"/>
      <c r="N145" s="228"/>
    </row>
    <row r="146" spans="1:14">
      <c r="C146" s="21"/>
      <c r="D146" s="33"/>
      <c r="E146" s="72"/>
      <c r="F146" s="72"/>
      <c r="G146" s="72"/>
      <c r="I146" s="36"/>
    </row>
    <row r="147" spans="1:14" thickBot="1">
      <c r="A147" s="29"/>
      <c r="C147" s="21"/>
      <c r="D147" s="33"/>
      <c r="E147" s="33"/>
      <c r="F147" s="33"/>
      <c r="G147" s="33"/>
    </row>
    <row r="148" spans="1:14" ht="13.5" thickTop="1" thickBot="1">
      <c r="A148" s="29"/>
      <c r="C148" s="144" t="s">
        <v>51</v>
      </c>
      <c r="D148" s="145"/>
      <c r="E148" s="130">
        <f>SUM(E43:E145)</f>
        <v>100</v>
      </c>
      <c r="F148" s="130">
        <f>SUM(F43:F145)</f>
        <v>0</v>
      </c>
      <c r="G148" s="130">
        <f>SUM(G43:G145)</f>
        <v>0</v>
      </c>
    </row>
    <row r="149" spans="1:14" ht="14" thickTop="1" thickBot="1">
      <c r="A149" s="29"/>
      <c r="C149" s="144" t="s">
        <v>1</v>
      </c>
      <c r="D149" s="146"/>
      <c r="E149" s="131">
        <f>IF(E148=0,0,SUMPRODUCT($D$43:$D$145,E43:E145)/E148)</f>
        <v>2.016</v>
      </c>
      <c r="F149" s="131">
        <f>IF(F148=0,0,SUMPRODUCT($D$43:$D$145,F43:F145)/F148)</f>
        <v>0</v>
      </c>
      <c r="G149" s="131">
        <f>IF(G148=0,0,SUMPRODUCT($D$43:$D$145,G43:G145)/G148)</f>
        <v>0</v>
      </c>
      <c r="H149" s="228"/>
      <c r="I149" s="33"/>
    </row>
    <row r="150" spans="1:14" ht="14" thickTop="1" thickBot="1">
      <c r="A150" s="29"/>
      <c r="E150" s="35"/>
      <c r="F150" s="35"/>
      <c r="G150" s="35"/>
      <c r="I150" s="33"/>
    </row>
    <row r="151" spans="1:14" ht="17.25" customHeight="1" thickTop="1">
      <c r="A151" s="672" t="s">
        <v>142</v>
      </c>
      <c r="B151" s="673"/>
      <c r="C151" s="673"/>
      <c r="D151" s="673"/>
      <c r="E151" s="673"/>
      <c r="F151" s="673"/>
      <c r="G151" s="673"/>
      <c r="H151" s="673"/>
      <c r="I151" s="673"/>
      <c r="J151" s="673"/>
      <c r="K151" s="673"/>
      <c r="L151" s="673"/>
      <c r="M151" s="673"/>
      <c r="N151" s="674"/>
    </row>
    <row r="152" spans="1:14" s="209" customFormat="1" ht="26.25" customHeight="1">
      <c r="A152" s="219" t="s">
        <v>76</v>
      </c>
      <c r="B152" s="204">
        <v>1</v>
      </c>
      <c r="C152" s="205"/>
      <c r="D152" s="205" t="s">
        <v>657</v>
      </c>
      <c r="E152" s="204"/>
      <c r="F152" s="206"/>
      <c r="G152" s="207"/>
      <c r="H152" s="210"/>
      <c r="I152" s="205" t="s">
        <v>417</v>
      </c>
      <c r="J152" s="204">
        <v>1</v>
      </c>
      <c r="K152" s="288"/>
      <c r="L152" s="206"/>
      <c r="M152" s="205"/>
      <c r="N152" s="208"/>
    </row>
    <row r="153" spans="1:14">
      <c r="A153" s="135"/>
      <c r="B153" s="23"/>
      <c r="C153" s="23"/>
      <c r="D153" s="5"/>
      <c r="E153" s="314"/>
      <c r="F153" s="5"/>
      <c r="G153" s="5"/>
      <c r="H153" s="5"/>
      <c r="I153" s="5"/>
      <c r="J153" s="5"/>
      <c r="K153" s="5"/>
      <c r="L153" s="17"/>
      <c r="M153" s="5"/>
      <c r="N153" s="136"/>
    </row>
    <row r="154" spans="1:14">
      <c r="A154" s="137" t="s">
        <v>80</v>
      </c>
      <c r="B154" s="132">
        <v>1</v>
      </c>
      <c r="C154" s="132">
        <v>2</v>
      </c>
      <c r="D154" s="133">
        <v>3</v>
      </c>
      <c r="E154" s="132">
        <v>4</v>
      </c>
      <c r="F154" s="133">
        <v>5</v>
      </c>
      <c r="G154" s="133">
        <v>6</v>
      </c>
      <c r="H154" s="133">
        <v>7</v>
      </c>
      <c r="I154" s="133">
        <v>8</v>
      </c>
      <c r="K154" s="12"/>
      <c r="L154" s="17"/>
      <c r="M154" s="5"/>
      <c r="N154" s="136"/>
    </row>
    <row r="155" spans="1:14" ht="24.75" customHeight="1">
      <c r="A155" s="137" t="s">
        <v>77</v>
      </c>
      <c r="B155" s="661"/>
      <c r="C155" s="661"/>
      <c r="D155" s="661"/>
      <c r="E155" s="661"/>
      <c r="F155" s="661"/>
      <c r="G155" s="661"/>
      <c r="H155" s="661"/>
      <c r="I155" s="661"/>
      <c r="J155" s="667" t="s">
        <v>1026</v>
      </c>
      <c r="K155" s="668"/>
      <c r="L155" s="668"/>
      <c r="M155" s="668"/>
      <c r="N155" s="669"/>
    </row>
    <row r="156" spans="1:14" ht="21" customHeight="1">
      <c r="A156" s="137" t="s">
        <v>78</v>
      </c>
      <c r="B156" s="134"/>
      <c r="C156" s="134"/>
      <c r="D156" s="134"/>
      <c r="E156" s="134"/>
      <c r="F156" s="134"/>
      <c r="G156" s="134"/>
      <c r="H156" s="134"/>
      <c r="I156" s="134"/>
      <c r="K156" s="5"/>
      <c r="L156" s="16"/>
      <c r="M156" s="5"/>
      <c r="N156" s="136"/>
    </row>
    <row r="157" spans="1:14">
      <c r="A157" s="137" t="s">
        <v>79</v>
      </c>
      <c r="B157" s="134"/>
      <c r="C157" s="134"/>
      <c r="D157" s="134"/>
      <c r="E157" s="134"/>
      <c r="F157" s="134"/>
      <c r="G157" s="134"/>
      <c r="H157" s="134"/>
      <c r="I157" s="134"/>
      <c r="K157" s="5"/>
      <c r="L157" s="16"/>
      <c r="M157" s="5"/>
      <c r="N157" s="136"/>
    </row>
    <row r="158" spans="1:14">
      <c r="A158" s="135"/>
      <c r="B158" s="23"/>
      <c r="C158" s="23"/>
      <c r="D158" s="5"/>
      <c r="E158" s="23"/>
      <c r="F158" s="5"/>
      <c r="G158" s="5"/>
      <c r="H158" s="5"/>
      <c r="I158" s="5"/>
      <c r="K158" s="5"/>
      <c r="L158" s="5"/>
      <c r="M158" s="5"/>
      <c r="N158" s="136"/>
    </row>
    <row r="159" spans="1:14">
      <c r="A159" s="135"/>
      <c r="B159" s="23"/>
      <c r="C159" s="23"/>
      <c r="D159" s="5"/>
      <c r="E159" s="23"/>
      <c r="F159" s="5"/>
      <c r="G159" s="5"/>
      <c r="H159" s="5"/>
      <c r="I159" s="5"/>
      <c r="K159" s="5"/>
      <c r="L159" s="5"/>
      <c r="M159" s="5"/>
      <c r="N159" s="136"/>
    </row>
    <row r="160" spans="1:14">
      <c r="A160" s="137" t="s">
        <v>81</v>
      </c>
      <c r="B160" s="132">
        <v>1</v>
      </c>
      <c r="C160" s="132">
        <v>2</v>
      </c>
      <c r="D160" s="133">
        <v>3</v>
      </c>
      <c r="E160" s="132">
        <v>4</v>
      </c>
      <c r="F160" s="133">
        <v>5</v>
      </c>
      <c r="G160" s="133">
        <v>6</v>
      </c>
      <c r="H160" s="133">
        <v>7</v>
      </c>
      <c r="I160" s="133">
        <v>8</v>
      </c>
      <c r="K160" s="12"/>
      <c r="L160" s="17"/>
      <c r="M160" s="5"/>
      <c r="N160" s="136"/>
    </row>
    <row r="161" spans="1:14">
      <c r="A161" s="137" t="s">
        <v>77</v>
      </c>
      <c r="B161" s="661"/>
      <c r="C161" s="661"/>
      <c r="D161" s="661"/>
      <c r="E161" s="661"/>
      <c r="F161" s="661"/>
      <c r="G161" s="661"/>
      <c r="H161" s="661"/>
      <c r="I161" s="661"/>
      <c r="K161" s="12"/>
      <c r="L161" s="17"/>
      <c r="M161" s="5"/>
      <c r="N161" s="136"/>
    </row>
    <row r="162" spans="1:14" ht="23.25" customHeight="1">
      <c r="A162" s="137" t="s">
        <v>78</v>
      </c>
      <c r="B162" s="134"/>
      <c r="C162" s="134"/>
      <c r="D162" s="134"/>
      <c r="E162" s="134"/>
      <c r="F162" s="134"/>
      <c r="G162" s="134"/>
      <c r="H162" s="134"/>
      <c r="I162" s="134"/>
      <c r="K162" s="5"/>
      <c r="L162" s="16"/>
      <c r="M162" s="5"/>
      <c r="N162" s="136"/>
    </row>
    <row r="163" spans="1:14">
      <c r="A163" s="137" t="s">
        <v>79</v>
      </c>
      <c r="B163" s="134"/>
      <c r="C163" s="134"/>
      <c r="D163" s="134"/>
      <c r="E163" s="134"/>
      <c r="F163" s="134"/>
      <c r="G163" s="134"/>
      <c r="H163" s="134"/>
      <c r="I163" s="134"/>
      <c r="K163" s="5"/>
      <c r="L163" s="16"/>
      <c r="M163" s="5"/>
      <c r="N163" s="136"/>
    </row>
    <row r="164" spans="1:14">
      <c r="A164" s="135"/>
      <c r="B164" s="265"/>
      <c r="C164" s="265"/>
      <c r="D164" s="5"/>
      <c r="E164" s="265"/>
      <c r="F164" s="5"/>
      <c r="G164" s="5"/>
      <c r="H164" s="5"/>
      <c r="I164" s="5"/>
      <c r="K164" s="5"/>
      <c r="L164" s="5"/>
      <c r="M164" s="5"/>
      <c r="N164" s="136"/>
    </row>
    <row r="165" spans="1:14" ht="12.5">
      <c r="C165" s="21"/>
      <c r="N165" s="136"/>
    </row>
    <row r="166" spans="1:14">
      <c r="A166" s="269" t="s">
        <v>345</v>
      </c>
      <c r="B166" s="132">
        <v>1</v>
      </c>
      <c r="C166" s="132">
        <v>2</v>
      </c>
      <c r="D166" s="133">
        <v>3</v>
      </c>
      <c r="E166" s="132">
        <v>4</v>
      </c>
      <c r="F166" s="133">
        <v>5</v>
      </c>
      <c r="G166" s="133">
        <v>6</v>
      </c>
      <c r="H166" s="133">
        <v>7</v>
      </c>
      <c r="I166" s="133">
        <v>8</v>
      </c>
      <c r="N166" s="136"/>
    </row>
    <row r="167" spans="1:14">
      <c r="A167" s="137" t="s">
        <v>77</v>
      </c>
      <c r="B167" s="661"/>
      <c r="C167" s="661"/>
      <c r="D167" s="661"/>
      <c r="E167" s="661"/>
      <c r="F167" s="661"/>
      <c r="G167" s="661"/>
      <c r="H167" s="661"/>
      <c r="I167" s="661"/>
      <c r="N167" s="136"/>
    </row>
    <row r="168" spans="1:14" ht="20.25" customHeight="1">
      <c r="A168" s="137" t="s">
        <v>78</v>
      </c>
      <c r="B168" s="134"/>
      <c r="C168" s="134"/>
      <c r="D168" s="134"/>
      <c r="E168" s="134"/>
      <c r="F168" s="134"/>
      <c r="G168" s="134"/>
      <c r="H168" s="134"/>
      <c r="I168" s="134"/>
      <c r="N168" s="136"/>
    </row>
    <row r="169" spans="1:14">
      <c r="A169" s="137" t="s">
        <v>79</v>
      </c>
      <c r="B169" s="134"/>
      <c r="C169" s="134"/>
      <c r="D169" s="134"/>
      <c r="E169" s="134"/>
      <c r="F169" s="134"/>
      <c r="G169" s="134"/>
      <c r="H169" s="134"/>
      <c r="I169" s="134"/>
      <c r="N169" s="136"/>
    </row>
    <row r="170" spans="1:14" ht="12.5">
      <c r="C170" s="21"/>
      <c r="N170" s="136"/>
    </row>
    <row r="171" spans="1:14" ht="13.5" thickBot="1">
      <c r="A171" s="138"/>
      <c r="B171" s="139"/>
      <c r="C171" s="139"/>
      <c r="D171" s="140"/>
      <c r="E171" s="140"/>
      <c r="F171" s="140"/>
      <c r="G171" s="140"/>
      <c r="H171" s="140"/>
      <c r="I171" s="140"/>
      <c r="J171" s="141"/>
      <c r="K171" s="142"/>
      <c r="L171" s="140"/>
      <c r="M171" s="140"/>
      <c r="N171" s="143"/>
    </row>
    <row r="172" spans="1:14" thickTop="1">
      <c r="C172" s="21"/>
    </row>
    <row r="173" spans="1:14" ht="12.5">
      <c r="C173" s="21"/>
    </row>
    <row r="174" spans="1:14" ht="12.5">
      <c r="C174" s="21"/>
    </row>
    <row r="175" spans="1:14" ht="12.5">
      <c r="C175" s="21"/>
    </row>
    <row r="176" spans="1:14" ht="12.5">
      <c r="C176" s="21"/>
    </row>
    <row r="177" spans="3:27" ht="12.5">
      <c r="C177" s="21"/>
    </row>
    <row r="178" spans="3:27" ht="12.5">
      <c r="C178" s="21"/>
    </row>
    <row r="179" spans="3:27" thickBot="1">
      <c r="C179" s="21"/>
    </row>
    <row r="180" spans="3:27" thickTop="1">
      <c r="C180" s="21"/>
      <c r="Y180" s="37"/>
      <c r="Z180" s="38"/>
      <c r="AA180" s="39"/>
    </row>
    <row r="181" spans="3:27" ht="12.5">
      <c r="C181" s="21"/>
      <c r="Y181" s="40"/>
      <c r="AA181" s="41" t="s">
        <v>64</v>
      </c>
    </row>
    <row r="182" spans="3:27" ht="12.5">
      <c r="C182" s="21"/>
      <c r="Y182" s="40"/>
      <c r="Z182" s="5"/>
      <c r="AA182" s="41" t="s">
        <v>65</v>
      </c>
    </row>
    <row r="183" spans="3:27">
      <c r="C183" s="21"/>
      <c r="Y183" s="42"/>
      <c r="Z183" s="5"/>
      <c r="AA183" s="41" t="s">
        <v>67</v>
      </c>
    </row>
    <row r="184" spans="3:27" ht="12.5">
      <c r="C184" s="21"/>
      <c r="Y184" s="40" t="e">
        <f>RIGHT(#REF!,5)</f>
        <v>#REF!</v>
      </c>
      <c r="AA184" s="41"/>
    </row>
    <row r="185" spans="3:27">
      <c r="C185" s="21"/>
      <c r="Y185" s="42" t="e">
        <f>IF(Y184="short",1,2)</f>
        <v>#REF!</v>
      </c>
      <c r="Z185" s="5"/>
      <c r="AA185" s="41"/>
    </row>
    <row r="186" spans="3:27" ht="13.5" thickBot="1">
      <c r="C186" s="21"/>
      <c r="Y186" s="43" t="e">
        <f>IF(OR(#REF!="HG short",#REF!="HG long"),1,2)</f>
        <v>#REF!</v>
      </c>
      <c r="Z186" s="44" t="e">
        <f>IF(OR(#REF!="HF short",#REF!="HF long"),1,2)</f>
        <v>#REF!</v>
      </c>
      <c r="AA186" s="45"/>
    </row>
    <row r="187" spans="3:27" ht="13.5" thickTop="1">
      <c r="C187" s="21"/>
      <c r="Z187" s="46"/>
    </row>
    <row r="188" spans="3:27" ht="12.5">
      <c r="C188" s="21"/>
    </row>
    <row r="189" spans="3:27" ht="12.5">
      <c r="C189" s="21"/>
    </row>
    <row r="190" spans="3:27" ht="12.5">
      <c r="C190" s="21"/>
    </row>
    <row r="191" spans="3:27" ht="12.5">
      <c r="C191" s="21"/>
    </row>
    <row r="192" spans="3:27" ht="12.5">
      <c r="C192" s="21"/>
    </row>
    <row r="193" spans="3:3" ht="12.5">
      <c r="C193" s="21"/>
    </row>
    <row r="194" spans="3:3" ht="12.5">
      <c r="C194" s="21"/>
    </row>
    <row r="195" spans="3:3" ht="12.5">
      <c r="C195" s="21"/>
    </row>
    <row r="196" spans="3:3" ht="12.5">
      <c r="C196" s="21"/>
    </row>
    <row r="197" spans="3:3" ht="15" customHeight="1">
      <c r="C197" s="21"/>
    </row>
    <row r="198" spans="3:3" ht="13.5" customHeight="1">
      <c r="C198" s="21"/>
    </row>
    <row r="199" spans="3:3" ht="12.5">
      <c r="C199" s="21"/>
    </row>
    <row r="200" spans="3:3" ht="12.5">
      <c r="C200" s="21"/>
    </row>
    <row r="201" spans="3:3" ht="12.5">
      <c r="C201" s="21"/>
    </row>
    <row r="202" spans="3:3" ht="12.5">
      <c r="C202" s="21"/>
    </row>
    <row r="203" spans="3:3" ht="12.5">
      <c r="C203" s="21"/>
    </row>
    <row r="204" spans="3:3" ht="12.5">
      <c r="C204" s="21"/>
    </row>
    <row r="205" spans="3:3" ht="12.5">
      <c r="C205" s="21"/>
    </row>
    <row r="206" spans="3:3" ht="12.5">
      <c r="C206" s="21"/>
    </row>
    <row r="207" spans="3:3" ht="12.5">
      <c r="C207" s="21"/>
    </row>
    <row r="208" spans="3:3" ht="12.5">
      <c r="C208" s="21"/>
    </row>
    <row r="209" spans="3:3" ht="12.5">
      <c r="C209" s="21"/>
    </row>
    <row r="210" spans="3:3" ht="12.5">
      <c r="C210" s="21"/>
    </row>
    <row r="211" spans="3:3" ht="12.5">
      <c r="C211" s="21"/>
    </row>
    <row r="212" spans="3:3" ht="12.5">
      <c r="C212" s="21"/>
    </row>
    <row r="213" spans="3:3" ht="12.5">
      <c r="C213" s="21"/>
    </row>
    <row r="214" spans="3:3" ht="12.5">
      <c r="C214" s="21"/>
    </row>
    <row r="215" spans="3:3" ht="12.5">
      <c r="C215" s="21"/>
    </row>
    <row r="216" spans="3:3" ht="12.5">
      <c r="C216" s="21"/>
    </row>
    <row r="217" spans="3:3" ht="12.5">
      <c r="C217" s="21"/>
    </row>
    <row r="218" spans="3:3" ht="12.5">
      <c r="C218" s="21"/>
    </row>
    <row r="219" spans="3:3" ht="12.5">
      <c r="C219" s="21"/>
    </row>
    <row r="220" spans="3:3" ht="12.5">
      <c r="C220" s="21"/>
    </row>
    <row r="221" spans="3:3" ht="12.5">
      <c r="C221" s="21"/>
    </row>
    <row r="222" spans="3:3" ht="12.5">
      <c r="C222" s="21"/>
    </row>
    <row r="223" spans="3:3" ht="12.5">
      <c r="C223" s="21"/>
    </row>
    <row r="224" spans="3:3" ht="12.5">
      <c r="C224" s="21"/>
    </row>
    <row r="225" spans="3:3" ht="12.5">
      <c r="C225" s="21"/>
    </row>
    <row r="226" spans="3:3" ht="12.5">
      <c r="C226" s="21"/>
    </row>
    <row r="227" spans="3:3" ht="12.5">
      <c r="C227" s="21"/>
    </row>
    <row r="228" spans="3:3" ht="12.5">
      <c r="C228" s="21"/>
    </row>
    <row r="229" spans="3:3" ht="12.5">
      <c r="C229" s="21"/>
    </row>
    <row r="230" spans="3:3" ht="12.5">
      <c r="C230" s="21"/>
    </row>
    <row r="231" spans="3:3" ht="12.5">
      <c r="C231" s="21"/>
    </row>
    <row r="232" spans="3:3" ht="12.5">
      <c r="C232" s="21"/>
    </row>
    <row r="233" spans="3:3" ht="12.5">
      <c r="C233" s="21"/>
    </row>
    <row r="234" spans="3:3" ht="12.5">
      <c r="C234" s="21"/>
    </row>
    <row r="235" spans="3:3" ht="12.5">
      <c r="C235" s="21"/>
    </row>
    <row r="236" spans="3:3" ht="12.5">
      <c r="C236" s="21"/>
    </row>
    <row r="237" spans="3:3" ht="12.5">
      <c r="C237" s="21"/>
    </row>
    <row r="238" spans="3:3" ht="12.5">
      <c r="C238" s="21"/>
    </row>
  </sheetData>
  <sheetProtection algorithmName="SHA-512" hashValue="m2DXJA5nOX/aT+19pp+4JWy5ssszS5wwgQjZ7oF9LZV2hYWL+nUhaKNcbuqVF3S4s16HHk8CmRuUJlQJu/sUsQ==" saltValue="QbRhorbXBDlZlx4QQkt7vw==" spinCount="100000" sheet="1" objects="1" scenarios="1"/>
  <dataConsolidate/>
  <mergeCells count="38">
    <mergeCell ref="D8:O9"/>
    <mergeCell ref="L2:M2"/>
    <mergeCell ref="N2:O2"/>
    <mergeCell ref="A6:C7"/>
    <mergeCell ref="C3:C4"/>
    <mergeCell ref="A1:A2"/>
    <mergeCell ref="L1:M1"/>
    <mergeCell ref="L3:O4"/>
    <mergeCell ref="D6:O7"/>
    <mergeCell ref="B1:F2"/>
    <mergeCell ref="D5:O5"/>
    <mergeCell ref="A5:C5"/>
    <mergeCell ref="F3:F4"/>
    <mergeCell ref="D3:E4"/>
    <mergeCell ref="G1:K4"/>
    <mergeCell ref="N1:O1"/>
    <mergeCell ref="A10:C10"/>
    <mergeCell ref="A8:C9"/>
    <mergeCell ref="A28:B28"/>
    <mergeCell ref="A24:C24"/>
    <mergeCell ref="A20:C20"/>
    <mergeCell ref="A11:C11"/>
    <mergeCell ref="J155:N155"/>
    <mergeCell ref="D41:E41"/>
    <mergeCell ref="A151:N151"/>
    <mergeCell ref="J32:L33"/>
    <mergeCell ref="A14:C14"/>
    <mergeCell ref="A31:C31"/>
    <mergeCell ref="J31:L31"/>
    <mergeCell ref="J28:L30"/>
    <mergeCell ref="J25:L27"/>
    <mergeCell ref="N36:O38"/>
    <mergeCell ref="H50:O55"/>
    <mergeCell ref="H56:O58"/>
    <mergeCell ref="A41:C41"/>
    <mergeCell ref="H28:I30"/>
    <mergeCell ref="G41:H41"/>
    <mergeCell ref="M28:P30"/>
  </mergeCells>
  <phoneticPr fontId="0" type="noConversion"/>
  <conditionalFormatting sqref="E15:E18">
    <cfRule type="expression" dxfId="120" priority="18">
      <formula>IF(SUM($E$14:$E$18)=0,FALSE,IF(E15&gt;0,FASLO,TRUE))</formula>
    </cfRule>
  </conditionalFormatting>
  <conditionalFormatting sqref="F14:F18">
    <cfRule type="expression" dxfId="119" priority="17">
      <formula>IF(SUM($F$14:$F$18)=0,FALSE,IF(F14&gt;0,FASLO,TRUE))</formula>
    </cfRule>
  </conditionalFormatting>
  <conditionalFormatting sqref="G14:G18">
    <cfRule type="expression" dxfId="118" priority="16">
      <formula>IF(SUM($G$14:$G$18)=0,FALSE,IF(G14&gt;0,FASLO,TRUE))</formula>
    </cfRule>
  </conditionalFormatting>
  <conditionalFormatting sqref="E20:E22">
    <cfRule type="expression" dxfId="117" priority="15">
      <formula>IF(SUM($E$20:$E$22)=0,FALSE,IF(E20&gt;0,FASLO,TRUE))</formula>
    </cfRule>
  </conditionalFormatting>
  <conditionalFormatting sqref="E24:E26">
    <cfRule type="expression" dxfId="116" priority="14">
      <formula>IF(SUM($E$24:$E$26)=0,FALSE,IF(E24&gt;0,FASLO,TRUE))</formula>
    </cfRule>
  </conditionalFormatting>
  <conditionalFormatting sqref="E28:E29">
    <cfRule type="expression" dxfId="115" priority="13">
      <formula>IF(SUM($E$28:$E$29)=0,FALSE,IF(ABS(E28)&gt;0,FASLO,TRUE))</formula>
    </cfRule>
  </conditionalFormatting>
  <conditionalFormatting sqref="E31:E32">
    <cfRule type="expression" dxfId="114" priority="12">
      <formula>IF(SUM($E$31:$E$32)=0,FALSE,IF(E31&gt;0,FASLO,TRUE))</formula>
    </cfRule>
  </conditionalFormatting>
  <conditionalFormatting sqref="F20:F22">
    <cfRule type="expression" dxfId="113" priority="11">
      <formula>IF(SUM($F$20:$F$22)=0,FALSE,IF(F20&gt;0,FASLO,TRUE))</formula>
    </cfRule>
  </conditionalFormatting>
  <conditionalFormatting sqref="F24:F26">
    <cfRule type="expression" dxfId="112" priority="10">
      <formula>IF(SUM($F$24:$F$26)=0,FALSE,IF(F24&gt;0,FASLO,TRUE))</formula>
    </cfRule>
  </conditionalFormatting>
  <conditionalFormatting sqref="F28:F29">
    <cfRule type="expression" dxfId="111" priority="9">
      <formula>IF(SUM($F$28:$F$29)=0,FALSE,IF(ABS(F28)&gt;0,FASLO,TRUE))</formula>
    </cfRule>
  </conditionalFormatting>
  <conditionalFormatting sqref="F31:F32">
    <cfRule type="expression" dxfId="110" priority="8">
      <formula>IF(SUM($F$31:$F$32)=0,FALSE,IF(F31&gt;0,FASLO,TRUE))</formula>
    </cfRule>
  </conditionalFormatting>
  <conditionalFormatting sqref="G20:G22">
    <cfRule type="expression" dxfId="109" priority="7">
      <formula>IF(SUM($G$20:$G$22)=0,FALSE,IF(G20&gt;0,FASLO,TRUE))</formula>
    </cfRule>
  </conditionalFormatting>
  <conditionalFormatting sqref="G24:G26">
    <cfRule type="expression" dxfId="108" priority="6">
      <formula>IF(SUM($G$24:$G$26)=0,FALSE,IF(G24&gt;0,FASLO,TRUE))</formula>
    </cfRule>
  </conditionalFormatting>
  <conditionalFormatting sqref="G28:G29">
    <cfRule type="expression" dxfId="107" priority="5">
      <formula>IF(SUM($G$28:$G$29)=0,FALSE,IF(ABS(G28)&gt;0,FASLO,TRUE))</formula>
    </cfRule>
  </conditionalFormatting>
  <conditionalFormatting sqref="G31:G32">
    <cfRule type="expression" dxfId="106" priority="4">
      <formula>IF(SUM($G$31:$G$32)=0,FALSE,IF(G31&gt;0,FASLO,TRUE))</formula>
    </cfRule>
  </conditionalFormatting>
  <conditionalFormatting sqref="B38">
    <cfRule type="expression" dxfId="105" priority="2">
      <formula>IF(SUM($E$31:$E$32)=0,FALSE,IF(B38&gt;0,FASLO,TRUE))</formula>
    </cfRule>
  </conditionalFormatting>
  <conditionalFormatting sqref="E14">
    <cfRule type="expression" dxfId="104" priority="1">
      <formula>IF(SUM($E$14:$E$18)=0,FALSE,IF(E14&gt;0,FASLO,TRUE))</formula>
    </cfRule>
  </conditionalFormatting>
  <printOptions horizontalCentered="1" verticalCentered="1"/>
  <pageMargins left="0.51181102362204722" right="0.51181102362204722" top="0.74803149606299213" bottom="0.74803149606299213" header="0.51181102362204722" footer="0.51181102362204722"/>
  <pageSetup paperSize="9" scale="2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5" r:id="rId4" name="Button_Calculate">
              <controlPr defaultSize="0" print="0" autoFill="0" autoPict="0" macro="[0]!calcola_dati">
                <anchor moveWithCells="1">
                  <from>
                    <xdr:col>9</xdr:col>
                    <xdr:colOff>6350</xdr:colOff>
                    <xdr:row>19</xdr:row>
                    <xdr:rowOff>0</xdr:rowOff>
                  </from>
                  <to>
                    <xdr:col>10</xdr:col>
                    <xdr:colOff>558800</xdr:colOff>
                    <xdr:row>21</xdr:row>
                    <xdr:rowOff>6350</xdr:rowOff>
                  </to>
                </anchor>
              </controlPr>
            </control>
          </mc:Choice>
        </mc:AlternateContent>
        <mc:AlternateContent xmlns:mc="http://schemas.openxmlformats.org/markup-compatibility/2006">
          <mc:Choice Requires="x14">
            <control shapeId="1231" r:id="rId5" name="DropLubrification">
              <controlPr defaultSize="0" autoLine="0" autoPict="0" macro="[0]!Update_Budget">
                <anchor moveWithCells="1">
                  <from>
                    <xdr:col>4</xdr:col>
                    <xdr:colOff>0</xdr:colOff>
                    <xdr:row>35</xdr:row>
                    <xdr:rowOff>0</xdr:rowOff>
                  </from>
                  <to>
                    <xdr:col>4</xdr:col>
                    <xdr:colOff>685800</xdr:colOff>
                    <xdr:row>35</xdr:row>
                    <xdr:rowOff>196850</xdr:rowOff>
                  </to>
                </anchor>
              </controlPr>
            </control>
          </mc:Choice>
        </mc:AlternateContent>
        <mc:AlternateContent xmlns:mc="http://schemas.openxmlformats.org/markup-compatibility/2006">
          <mc:Choice Requires="x14">
            <control shapeId="1241" r:id="rId6" name="DropCompressor_Speed">
              <controlPr defaultSize="0" autoLine="0" autoPict="0" macro="[0]!DropCompressor_Speed_Change">
                <anchor moveWithCells="1">
                  <from>
                    <xdr:col>4</xdr:col>
                    <xdr:colOff>0</xdr:colOff>
                    <xdr:row>36</xdr:row>
                    <xdr:rowOff>25400</xdr:rowOff>
                  </from>
                  <to>
                    <xdr:col>6</xdr:col>
                    <xdr:colOff>6350</xdr:colOff>
                    <xdr:row>36</xdr:row>
                    <xdr:rowOff>222250</xdr:rowOff>
                  </to>
                </anchor>
              </controlPr>
            </control>
          </mc:Choice>
        </mc:AlternateContent>
        <mc:AlternateContent xmlns:mc="http://schemas.openxmlformats.org/markup-compatibility/2006">
          <mc:Choice Requires="x14">
            <control shapeId="1243" r:id="rId7" name="DropCompressorType">
              <controlPr defaultSize="0" autoLine="0" autoPict="0" macro="[0]!Scelta_Stroke">
                <anchor moveWithCells="1">
                  <from>
                    <xdr:col>1</xdr:col>
                    <xdr:colOff>25400</xdr:colOff>
                    <xdr:row>151</xdr:row>
                    <xdr:rowOff>76200</xdr:rowOff>
                  </from>
                  <to>
                    <xdr:col>2</xdr:col>
                    <xdr:colOff>0</xdr:colOff>
                    <xdr:row>151</xdr:row>
                    <xdr:rowOff>273050</xdr:rowOff>
                  </to>
                </anchor>
              </controlPr>
            </control>
          </mc:Choice>
        </mc:AlternateContent>
        <mc:AlternateContent xmlns:mc="http://schemas.openxmlformats.org/markup-compatibility/2006">
          <mc:Choice Requires="x14">
            <control shapeId="1244" r:id="rId8" name="DropMotorType">
              <controlPr defaultSize="0" autoLine="0" autoPict="0" macro="[0]!Drop_Motor_Type_Change">
                <anchor moveWithCells="1">
                  <from>
                    <xdr:col>0</xdr:col>
                    <xdr:colOff>958850</xdr:colOff>
                    <xdr:row>38</xdr:row>
                    <xdr:rowOff>38100</xdr:rowOff>
                  </from>
                  <to>
                    <xdr:col>1</xdr:col>
                    <xdr:colOff>609600</xdr:colOff>
                    <xdr:row>39</xdr:row>
                    <xdr:rowOff>82550</xdr:rowOff>
                  </to>
                </anchor>
              </controlPr>
            </control>
          </mc:Choice>
        </mc:AlternateContent>
        <mc:AlternateContent xmlns:mc="http://schemas.openxmlformats.org/markup-compatibility/2006">
          <mc:Choice Requires="x14">
            <control shapeId="1247" r:id="rId9" name="DropNumberOfServices">
              <controlPr defaultSize="0" autoLine="0" autoPict="0">
                <anchor moveWithCells="1">
                  <from>
                    <xdr:col>1</xdr:col>
                    <xdr:colOff>0</xdr:colOff>
                    <xdr:row>11</xdr:row>
                    <xdr:rowOff>0</xdr:rowOff>
                  </from>
                  <to>
                    <xdr:col>1</xdr:col>
                    <xdr:colOff>679450</xdr:colOff>
                    <xdr:row>12</xdr:row>
                    <xdr:rowOff>38100</xdr:rowOff>
                  </to>
                </anchor>
              </controlPr>
            </control>
          </mc:Choice>
        </mc:AlternateContent>
        <mc:AlternateContent xmlns:mc="http://schemas.openxmlformats.org/markup-compatibility/2006">
          <mc:Choice Requires="x14">
            <control shapeId="1248" r:id="rId10" name="DropLubrification2">
              <controlPr defaultSize="0" autoLine="0" autoPict="0">
                <anchor moveWithCells="1">
                  <from>
                    <xdr:col>5</xdr:col>
                    <xdr:colOff>25400</xdr:colOff>
                    <xdr:row>35</xdr:row>
                    <xdr:rowOff>0</xdr:rowOff>
                  </from>
                  <to>
                    <xdr:col>6</xdr:col>
                    <xdr:colOff>0</xdr:colOff>
                    <xdr:row>35</xdr:row>
                    <xdr:rowOff>196850</xdr:rowOff>
                  </to>
                </anchor>
              </controlPr>
            </control>
          </mc:Choice>
        </mc:AlternateContent>
        <mc:AlternateContent xmlns:mc="http://schemas.openxmlformats.org/markup-compatibility/2006">
          <mc:Choice Requires="x14">
            <control shapeId="1259" r:id="rId11" name="rpmtopoles">
              <controlPr defaultSize="0" autoLine="0" autoPict="0">
                <anchor moveWithCells="1">
                  <from>
                    <xdr:col>9</xdr:col>
                    <xdr:colOff>0</xdr:colOff>
                    <xdr:row>151</xdr:row>
                    <xdr:rowOff>76200</xdr:rowOff>
                  </from>
                  <to>
                    <xdr:col>10</xdr:col>
                    <xdr:colOff>0</xdr:colOff>
                    <xdr:row>151</xdr:row>
                    <xdr:rowOff>273050</xdr:rowOff>
                  </to>
                </anchor>
              </controlPr>
            </control>
          </mc:Choice>
        </mc:AlternateContent>
        <mc:AlternateContent xmlns:mc="http://schemas.openxmlformats.org/markup-compatibility/2006">
          <mc:Choice Requires="x14">
            <control shapeId="1261" r:id="rId12" name="Button_Calculate">
              <controlPr defaultSize="0" print="0" autoFill="0" autoPict="0" macro="[0]!clear_all_inout">
                <anchor moveWithCells="1">
                  <from>
                    <xdr:col>12</xdr:col>
                    <xdr:colOff>565150</xdr:colOff>
                    <xdr:row>19</xdr:row>
                    <xdr:rowOff>152400</xdr:rowOff>
                  </from>
                  <to>
                    <xdr:col>13</xdr:col>
                    <xdr:colOff>311150</xdr:colOff>
                    <xdr:row>21</xdr:row>
                    <xdr:rowOff>38100</xdr:rowOff>
                  </to>
                </anchor>
              </controlPr>
            </control>
          </mc:Choice>
        </mc:AlternateContent>
        <mc:AlternateContent xmlns:mc="http://schemas.openxmlformats.org/markup-compatibility/2006">
          <mc:Choice Requires="x14">
            <control shapeId="1262" r:id="rId13" name="CompStroke">
              <controlPr defaultSize="0" autoLine="0" autoPict="0" macro="[0]!ControlloCorsa_NoLube">
                <anchor moveWithCells="1">
                  <from>
                    <xdr:col>4</xdr:col>
                    <xdr:colOff>0</xdr:colOff>
                    <xdr:row>151</xdr:row>
                    <xdr:rowOff>76200</xdr:rowOff>
                  </from>
                  <to>
                    <xdr:col>5</xdr:col>
                    <xdr:colOff>76200</xdr:colOff>
                    <xdr:row>151</xdr:row>
                    <xdr:rowOff>273050</xdr:rowOff>
                  </to>
                </anchor>
              </controlPr>
            </control>
          </mc:Choice>
        </mc:AlternateContent>
        <mc:AlternateContent xmlns:mc="http://schemas.openxmlformats.org/markup-compatibility/2006">
          <mc:Choice Requires="x14">
            <control shapeId="1264" r:id="rId14" name="Drop Down 240">
              <controlPr defaultSize="0" autoLine="0" autoPict="0">
                <anchor moveWithCells="1">
                  <from>
                    <xdr:col>6</xdr:col>
                    <xdr:colOff>450850</xdr:colOff>
                    <xdr:row>151</xdr:row>
                    <xdr:rowOff>76200</xdr:rowOff>
                  </from>
                  <to>
                    <xdr:col>7</xdr:col>
                    <xdr:colOff>647700</xdr:colOff>
                    <xdr:row>151</xdr:row>
                    <xdr:rowOff>273050</xdr:rowOff>
                  </to>
                </anchor>
              </controlPr>
            </control>
          </mc:Choice>
        </mc:AlternateContent>
        <mc:AlternateContent xmlns:mc="http://schemas.openxmlformats.org/markup-compatibility/2006">
          <mc:Choice Requires="x14">
            <control shapeId="1265" r:id="rId15" name="DropMotorType">
              <controlPr defaultSize="0" autoLine="0" autoPict="0" macro="[0]!NNT_app">
                <anchor moveWithCells="1">
                  <from>
                    <xdr:col>7</xdr:col>
                    <xdr:colOff>120650</xdr:colOff>
                    <xdr:row>16</xdr:row>
                    <xdr:rowOff>63500</xdr:rowOff>
                  </from>
                  <to>
                    <xdr:col>8</xdr:col>
                    <xdr:colOff>107950</xdr:colOff>
                    <xdr:row>17</xdr:row>
                    <xdr:rowOff>146050</xdr:rowOff>
                  </to>
                </anchor>
              </controlPr>
            </control>
          </mc:Choice>
        </mc:AlternateContent>
        <mc:AlternateContent xmlns:mc="http://schemas.openxmlformats.org/markup-compatibility/2006">
          <mc:Choice Requires="x14">
            <control shapeId="1268" r:id="rId16" name="DropLubrification3">
              <controlPr defaultSize="0" autoLine="0" autoPict="0">
                <anchor moveWithCells="1">
                  <from>
                    <xdr:col>6</xdr:col>
                    <xdr:colOff>25400</xdr:colOff>
                    <xdr:row>35</xdr:row>
                    <xdr:rowOff>0</xdr:rowOff>
                  </from>
                  <to>
                    <xdr:col>7</xdr:col>
                    <xdr:colOff>0</xdr:colOff>
                    <xdr:row>35</xdr:row>
                    <xdr:rowOff>196850</xdr:rowOff>
                  </to>
                </anchor>
              </controlPr>
            </control>
          </mc:Choice>
        </mc:AlternateContent>
        <mc:AlternateContent xmlns:mc="http://schemas.openxmlformats.org/markup-compatibility/2006">
          <mc:Choice Requires="x14">
            <control shapeId="1269" r:id="rId17" name="DropLubrification3">
              <controlPr defaultSize="0" autoLine="0" autoPict="0" macro="[0]!Other_Gas" altText="prova">
                <anchor moveWithCells="1">
                  <from>
                    <xdr:col>1</xdr:col>
                    <xdr:colOff>0</xdr:colOff>
                    <xdr:row>74</xdr:row>
                    <xdr:rowOff>146050</xdr:rowOff>
                  </from>
                  <to>
                    <xdr:col>2</xdr:col>
                    <xdr:colOff>0</xdr:colOff>
                    <xdr:row>145</xdr:row>
                    <xdr:rowOff>31750</xdr:rowOff>
                  </to>
                </anchor>
              </controlPr>
            </control>
          </mc:Choice>
        </mc:AlternateContent>
        <mc:AlternateContent xmlns:mc="http://schemas.openxmlformats.org/markup-compatibility/2006">
          <mc:Choice Requires="x14">
            <control shapeId="1270" r:id="rId18" name="CylDiam11">
              <controlPr defaultSize="0" autoLine="0" autoPict="0" macro="[0]!CylDiam1">
                <anchor moveWithCells="1">
                  <from>
                    <xdr:col>0</xdr:col>
                    <xdr:colOff>1441450</xdr:colOff>
                    <xdr:row>155</xdr:row>
                    <xdr:rowOff>38100</xdr:rowOff>
                  </from>
                  <to>
                    <xdr:col>1</xdr:col>
                    <xdr:colOff>654050</xdr:colOff>
                    <xdr:row>155</xdr:row>
                    <xdr:rowOff>234950</xdr:rowOff>
                  </to>
                </anchor>
              </controlPr>
            </control>
          </mc:Choice>
        </mc:AlternateContent>
        <mc:AlternateContent xmlns:mc="http://schemas.openxmlformats.org/markup-compatibility/2006">
          <mc:Choice Requires="x14">
            <control shapeId="1271" r:id="rId19" name="CylDiam12">
              <controlPr defaultSize="0" autoLine="0" autoPict="0" macro="[0]!CylDiam1">
                <anchor moveWithCells="1">
                  <from>
                    <xdr:col>2</xdr:col>
                    <xdr:colOff>63500</xdr:colOff>
                    <xdr:row>155</xdr:row>
                    <xdr:rowOff>38100</xdr:rowOff>
                  </from>
                  <to>
                    <xdr:col>2</xdr:col>
                    <xdr:colOff>723900</xdr:colOff>
                    <xdr:row>155</xdr:row>
                    <xdr:rowOff>234950</xdr:rowOff>
                  </to>
                </anchor>
              </controlPr>
            </control>
          </mc:Choice>
        </mc:AlternateContent>
        <mc:AlternateContent xmlns:mc="http://schemas.openxmlformats.org/markup-compatibility/2006">
          <mc:Choice Requires="x14">
            <control shapeId="1272" r:id="rId20" name="CylDiam21">
              <controlPr defaultSize="0" autoLine="0" autoPict="0" macro="[0]!CylDiam1">
                <anchor moveWithCells="1">
                  <from>
                    <xdr:col>0</xdr:col>
                    <xdr:colOff>1435100</xdr:colOff>
                    <xdr:row>161</xdr:row>
                    <xdr:rowOff>63500</xdr:rowOff>
                  </from>
                  <to>
                    <xdr:col>1</xdr:col>
                    <xdr:colOff>647700</xdr:colOff>
                    <xdr:row>161</xdr:row>
                    <xdr:rowOff>260350</xdr:rowOff>
                  </to>
                </anchor>
              </controlPr>
            </control>
          </mc:Choice>
        </mc:AlternateContent>
        <mc:AlternateContent xmlns:mc="http://schemas.openxmlformats.org/markup-compatibility/2006">
          <mc:Choice Requires="x14">
            <control shapeId="1273" r:id="rId21" name="CylDiam13">
              <controlPr defaultSize="0" autoLine="0" autoPict="0" macro="[0]!CylDiam1">
                <anchor moveWithCells="1">
                  <from>
                    <xdr:col>3</xdr:col>
                    <xdr:colOff>38100</xdr:colOff>
                    <xdr:row>155</xdr:row>
                    <xdr:rowOff>44450</xdr:rowOff>
                  </from>
                  <to>
                    <xdr:col>4</xdr:col>
                    <xdr:colOff>25400</xdr:colOff>
                    <xdr:row>155</xdr:row>
                    <xdr:rowOff>254000</xdr:rowOff>
                  </to>
                </anchor>
              </controlPr>
            </control>
          </mc:Choice>
        </mc:AlternateContent>
        <mc:AlternateContent xmlns:mc="http://schemas.openxmlformats.org/markup-compatibility/2006">
          <mc:Choice Requires="x14">
            <control shapeId="1274" r:id="rId22" name="CylDiam14">
              <controlPr defaultSize="0" autoLine="0" autoPict="0" macro="[0]!CylDiam1">
                <anchor moveWithCells="1">
                  <from>
                    <xdr:col>4</xdr:col>
                    <xdr:colOff>63500</xdr:colOff>
                    <xdr:row>155</xdr:row>
                    <xdr:rowOff>44450</xdr:rowOff>
                  </from>
                  <to>
                    <xdr:col>5</xdr:col>
                    <xdr:colOff>6350</xdr:colOff>
                    <xdr:row>155</xdr:row>
                    <xdr:rowOff>254000</xdr:rowOff>
                  </to>
                </anchor>
              </controlPr>
            </control>
          </mc:Choice>
        </mc:AlternateContent>
        <mc:AlternateContent xmlns:mc="http://schemas.openxmlformats.org/markup-compatibility/2006">
          <mc:Choice Requires="x14">
            <control shapeId="1275" r:id="rId23" name="CylDiam15">
              <controlPr defaultSize="0" autoLine="0" autoPict="0" macro="[0]!CylDiam1">
                <anchor moveWithCells="1">
                  <from>
                    <xdr:col>5</xdr:col>
                    <xdr:colOff>63500</xdr:colOff>
                    <xdr:row>155</xdr:row>
                    <xdr:rowOff>44450</xdr:rowOff>
                  </from>
                  <to>
                    <xdr:col>6</xdr:col>
                    <xdr:colOff>6350</xdr:colOff>
                    <xdr:row>155</xdr:row>
                    <xdr:rowOff>254000</xdr:rowOff>
                  </to>
                </anchor>
              </controlPr>
            </control>
          </mc:Choice>
        </mc:AlternateContent>
        <mc:AlternateContent xmlns:mc="http://schemas.openxmlformats.org/markup-compatibility/2006">
          <mc:Choice Requires="x14">
            <control shapeId="1276" r:id="rId24" name="CylDiam16">
              <controlPr defaultSize="0" autoLine="0" autoPict="0" macro="[0]!CylDiam1">
                <anchor moveWithCells="1">
                  <from>
                    <xdr:col>6</xdr:col>
                    <xdr:colOff>38100</xdr:colOff>
                    <xdr:row>155</xdr:row>
                    <xdr:rowOff>44450</xdr:rowOff>
                  </from>
                  <to>
                    <xdr:col>7</xdr:col>
                    <xdr:colOff>0</xdr:colOff>
                    <xdr:row>155</xdr:row>
                    <xdr:rowOff>254000</xdr:rowOff>
                  </to>
                </anchor>
              </controlPr>
            </control>
          </mc:Choice>
        </mc:AlternateContent>
        <mc:AlternateContent xmlns:mc="http://schemas.openxmlformats.org/markup-compatibility/2006">
          <mc:Choice Requires="x14">
            <control shapeId="1277" r:id="rId25" name="CylDiam17">
              <controlPr defaultSize="0" autoLine="0" autoPict="0" macro="[0]!CylDiam1">
                <anchor moveWithCells="1">
                  <from>
                    <xdr:col>7</xdr:col>
                    <xdr:colOff>31750</xdr:colOff>
                    <xdr:row>155</xdr:row>
                    <xdr:rowOff>44450</xdr:rowOff>
                  </from>
                  <to>
                    <xdr:col>8</xdr:col>
                    <xdr:colOff>6350</xdr:colOff>
                    <xdr:row>155</xdr:row>
                    <xdr:rowOff>254000</xdr:rowOff>
                  </to>
                </anchor>
              </controlPr>
            </control>
          </mc:Choice>
        </mc:AlternateContent>
        <mc:AlternateContent xmlns:mc="http://schemas.openxmlformats.org/markup-compatibility/2006">
          <mc:Choice Requires="x14">
            <control shapeId="1278" r:id="rId26" name="CylDiam18">
              <controlPr defaultSize="0" autoLine="0" autoPict="0" macro="[0]!CylDiam1">
                <anchor moveWithCells="1">
                  <from>
                    <xdr:col>8</xdr:col>
                    <xdr:colOff>63500</xdr:colOff>
                    <xdr:row>155</xdr:row>
                    <xdr:rowOff>44450</xdr:rowOff>
                  </from>
                  <to>
                    <xdr:col>9</xdr:col>
                    <xdr:colOff>38100</xdr:colOff>
                    <xdr:row>155</xdr:row>
                    <xdr:rowOff>254000</xdr:rowOff>
                  </to>
                </anchor>
              </controlPr>
            </control>
          </mc:Choice>
        </mc:AlternateContent>
        <mc:AlternateContent xmlns:mc="http://schemas.openxmlformats.org/markup-compatibility/2006">
          <mc:Choice Requires="x14">
            <control shapeId="1279" r:id="rId27" name="CylDiam22">
              <controlPr defaultSize="0" autoLine="0" autoPict="0" macro="[0]!CylDiam1">
                <anchor moveWithCells="1">
                  <from>
                    <xdr:col>2</xdr:col>
                    <xdr:colOff>63500</xdr:colOff>
                    <xdr:row>161</xdr:row>
                    <xdr:rowOff>63500</xdr:rowOff>
                  </from>
                  <to>
                    <xdr:col>2</xdr:col>
                    <xdr:colOff>723900</xdr:colOff>
                    <xdr:row>161</xdr:row>
                    <xdr:rowOff>260350</xdr:rowOff>
                  </to>
                </anchor>
              </controlPr>
            </control>
          </mc:Choice>
        </mc:AlternateContent>
        <mc:AlternateContent xmlns:mc="http://schemas.openxmlformats.org/markup-compatibility/2006">
          <mc:Choice Requires="x14">
            <control shapeId="1280" r:id="rId28" name="CylDiam23">
              <controlPr defaultSize="0" autoLine="0" autoPict="0" macro="[0]!CylDiam1">
                <anchor moveWithCells="1">
                  <from>
                    <xdr:col>3</xdr:col>
                    <xdr:colOff>31750</xdr:colOff>
                    <xdr:row>161</xdr:row>
                    <xdr:rowOff>69850</xdr:rowOff>
                  </from>
                  <to>
                    <xdr:col>4</xdr:col>
                    <xdr:colOff>6350</xdr:colOff>
                    <xdr:row>161</xdr:row>
                    <xdr:rowOff>260350</xdr:rowOff>
                  </to>
                </anchor>
              </controlPr>
            </control>
          </mc:Choice>
        </mc:AlternateContent>
        <mc:AlternateContent xmlns:mc="http://schemas.openxmlformats.org/markup-compatibility/2006">
          <mc:Choice Requires="x14">
            <control shapeId="1281" r:id="rId29" name="CylDiam24">
              <controlPr defaultSize="0" autoLine="0" autoPict="0" macro="[0]!CylDiam1">
                <anchor moveWithCells="1">
                  <from>
                    <xdr:col>4</xdr:col>
                    <xdr:colOff>63500</xdr:colOff>
                    <xdr:row>161</xdr:row>
                    <xdr:rowOff>69850</xdr:rowOff>
                  </from>
                  <to>
                    <xdr:col>5</xdr:col>
                    <xdr:colOff>6350</xdr:colOff>
                    <xdr:row>161</xdr:row>
                    <xdr:rowOff>260350</xdr:rowOff>
                  </to>
                </anchor>
              </controlPr>
            </control>
          </mc:Choice>
        </mc:AlternateContent>
        <mc:AlternateContent xmlns:mc="http://schemas.openxmlformats.org/markup-compatibility/2006">
          <mc:Choice Requires="x14">
            <control shapeId="1282" r:id="rId30" name="CylDiam25">
              <controlPr defaultSize="0" autoLine="0" autoPict="0" macro="[0]!CylDiam1">
                <anchor moveWithCells="1">
                  <from>
                    <xdr:col>5</xdr:col>
                    <xdr:colOff>44450</xdr:colOff>
                    <xdr:row>161</xdr:row>
                    <xdr:rowOff>69850</xdr:rowOff>
                  </from>
                  <to>
                    <xdr:col>6</xdr:col>
                    <xdr:colOff>0</xdr:colOff>
                    <xdr:row>161</xdr:row>
                    <xdr:rowOff>260350</xdr:rowOff>
                  </to>
                </anchor>
              </controlPr>
            </control>
          </mc:Choice>
        </mc:AlternateContent>
        <mc:AlternateContent xmlns:mc="http://schemas.openxmlformats.org/markup-compatibility/2006">
          <mc:Choice Requires="x14">
            <control shapeId="1283" r:id="rId31" name="CylDiam26">
              <controlPr defaultSize="0" autoLine="0" autoPict="0" macro="[0]!CylDiam1">
                <anchor moveWithCells="1">
                  <from>
                    <xdr:col>6</xdr:col>
                    <xdr:colOff>31750</xdr:colOff>
                    <xdr:row>161</xdr:row>
                    <xdr:rowOff>69850</xdr:rowOff>
                  </from>
                  <to>
                    <xdr:col>6</xdr:col>
                    <xdr:colOff>692150</xdr:colOff>
                    <xdr:row>161</xdr:row>
                    <xdr:rowOff>260350</xdr:rowOff>
                  </to>
                </anchor>
              </controlPr>
            </control>
          </mc:Choice>
        </mc:AlternateContent>
        <mc:AlternateContent xmlns:mc="http://schemas.openxmlformats.org/markup-compatibility/2006">
          <mc:Choice Requires="x14">
            <control shapeId="1284" r:id="rId32" name="CylDiam27">
              <controlPr defaultSize="0" autoLine="0" autoPict="0" macro="[0]!CylDiam1">
                <anchor moveWithCells="1">
                  <from>
                    <xdr:col>7</xdr:col>
                    <xdr:colOff>44450</xdr:colOff>
                    <xdr:row>161</xdr:row>
                    <xdr:rowOff>69850</xdr:rowOff>
                  </from>
                  <to>
                    <xdr:col>8</xdr:col>
                    <xdr:colOff>31750</xdr:colOff>
                    <xdr:row>161</xdr:row>
                    <xdr:rowOff>266700</xdr:rowOff>
                  </to>
                </anchor>
              </controlPr>
            </control>
          </mc:Choice>
        </mc:AlternateContent>
        <mc:AlternateContent xmlns:mc="http://schemas.openxmlformats.org/markup-compatibility/2006">
          <mc:Choice Requires="x14">
            <control shapeId="1285" r:id="rId33" name="CylDiam28">
              <controlPr defaultSize="0" autoLine="0" autoPict="0" macro="[0]!CylDiam1">
                <anchor moveWithCells="1">
                  <from>
                    <xdr:col>8</xdr:col>
                    <xdr:colOff>69850</xdr:colOff>
                    <xdr:row>161</xdr:row>
                    <xdr:rowOff>69850</xdr:rowOff>
                  </from>
                  <to>
                    <xdr:col>9</xdr:col>
                    <xdr:colOff>44450</xdr:colOff>
                    <xdr:row>161</xdr:row>
                    <xdr:rowOff>266700</xdr:rowOff>
                  </to>
                </anchor>
              </controlPr>
            </control>
          </mc:Choice>
        </mc:AlternateContent>
        <mc:AlternateContent xmlns:mc="http://schemas.openxmlformats.org/markup-compatibility/2006">
          <mc:Choice Requires="x14">
            <control shapeId="1286" r:id="rId34" name="CylDiam31">
              <controlPr defaultSize="0" autoLine="0" autoPict="0" macro="[0]!CylDiam1">
                <anchor moveWithCells="1">
                  <from>
                    <xdr:col>1</xdr:col>
                    <xdr:colOff>25400</xdr:colOff>
                    <xdr:row>167</xdr:row>
                    <xdr:rowOff>31750</xdr:rowOff>
                  </from>
                  <to>
                    <xdr:col>2</xdr:col>
                    <xdr:colOff>0</xdr:colOff>
                    <xdr:row>167</xdr:row>
                    <xdr:rowOff>228600</xdr:rowOff>
                  </to>
                </anchor>
              </controlPr>
            </control>
          </mc:Choice>
        </mc:AlternateContent>
        <mc:AlternateContent xmlns:mc="http://schemas.openxmlformats.org/markup-compatibility/2006">
          <mc:Choice Requires="x14">
            <control shapeId="1287" r:id="rId35" name="CylDiam32">
              <controlPr defaultSize="0" autoLine="0" autoPict="0" macro="[0]!CylDiam1">
                <anchor moveWithCells="1">
                  <from>
                    <xdr:col>2</xdr:col>
                    <xdr:colOff>63500</xdr:colOff>
                    <xdr:row>167</xdr:row>
                    <xdr:rowOff>38100</xdr:rowOff>
                  </from>
                  <to>
                    <xdr:col>2</xdr:col>
                    <xdr:colOff>723900</xdr:colOff>
                    <xdr:row>167</xdr:row>
                    <xdr:rowOff>228600</xdr:rowOff>
                  </to>
                </anchor>
              </controlPr>
            </control>
          </mc:Choice>
        </mc:AlternateContent>
        <mc:AlternateContent xmlns:mc="http://schemas.openxmlformats.org/markup-compatibility/2006">
          <mc:Choice Requires="x14">
            <control shapeId="1288" r:id="rId36" name="CylDiam33">
              <controlPr defaultSize="0" autoLine="0" autoPict="0" macro="[0]!CylDiam1">
                <anchor moveWithCells="1">
                  <from>
                    <xdr:col>3</xdr:col>
                    <xdr:colOff>31750</xdr:colOff>
                    <xdr:row>167</xdr:row>
                    <xdr:rowOff>38100</xdr:rowOff>
                  </from>
                  <to>
                    <xdr:col>4</xdr:col>
                    <xdr:colOff>6350</xdr:colOff>
                    <xdr:row>167</xdr:row>
                    <xdr:rowOff>234950</xdr:rowOff>
                  </to>
                </anchor>
              </controlPr>
            </control>
          </mc:Choice>
        </mc:AlternateContent>
        <mc:AlternateContent xmlns:mc="http://schemas.openxmlformats.org/markup-compatibility/2006">
          <mc:Choice Requires="x14">
            <control shapeId="1289" r:id="rId37" name="CylDiam34">
              <controlPr defaultSize="0" autoLine="0" autoPict="0" macro="[0]!CylDiam1">
                <anchor moveWithCells="1">
                  <from>
                    <xdr:col>4</xdr:col>
                    <xdr:colOff>44450</xdr:colOff>
                    <xdr:row>167</xdr:row>
                    <xdr:rowOff>38100</xdr:rowOff>
                  </from>
                  <to>
                    <xdr:col>5</xdr:col>
                    <xdr:colOff>6350</xdr:colOff>
                    <xdr:row>167</xdr:row>
                    <xdr:rowOff>228600</xdr:rowOff>
                  </to>
                </anchor>
              </controlPr>
            </control>
          </mc:Choice>
        </mc:AlternateContent>
        <mc:AlternateContent xmlns:mc="http://schemas.openxmlformats.org/markup-compatibility/2006">
          <mc:Choice Requires="x14">
            <control shapeId="1290" r:id="rId38" name="CylDiam35">
              <controlPr defaultSize="0" autoLine="0" autoPict="0" macro="[0]!CylDiam1">
                <anchor moveWithCells="1">
                  <from>
                    <xdr:col>5</xdr:col>
                    <xdr:colOff>38100</xdr:colOff>
                    <xdr:row>167</xdr:row>
                    <xdr:rowOff>44450</xdr:rowOff>
                  </from>
                  <to>
                    <xdr:col>6</xdr:col>
                    <xdr:colOff>0</xdr:colOff>
                    <xdr:row>167</xdr:row>
                    <xdr:rowOff>234950</xdr:rowOff>
                  </to>
                </anchor>
              </controlPr>
            </control>
          </mc:Choice>
        </mc:AlternateContent>
        <mc:AlternateContent xmlns:mc="http://schemas.openxmlformats.org/markup-compatibility/2006">
          <mc:Choice Requires="x14">
            <control shapeId="1291" r:id="rId39" name="CylDiam36">
              <controlPr defaultSize="0" autoLine="0" autoPict="0" macro="[0]!CylDiam1">
                <anchor moveWithCells="1">
                  <from>
                    <xdr:col>6</xdr:col>
                    <xdr:colOff>31750</xdr:colOff>
                    <xdr:row>167</xdr:row>
                    <xdr:rowOff>38100</xdr:rowOff>
                  </from>
                  <to>
                    <xdr:col>6</xdr:col>
                    <xdr:colOff>692150</xdr:colOff>
                    <xdr:row>167</xdr:row>
                    <xdr:rowOff>234950</xdr:rowOff>
                  </to>
                </anchor>
              </controlPr>
            </control>
          </mc:Choice>
        </mc:AlternateContent>
        <mc:AlternateContent xmlns:mc="http://schemas.openxmlformats.org/markup-compatibility/2006">
          <mc:Choice Requires="x14">
            <control shapeId="1292" r:id="rId40" name="CylDiam37">
              <controlPr defaultSize="0" autoLine="0" autoPict="0" macro="[0]!CylDiam1">
                <anchor moveWithCells="1">
                  <from>
                    <xdr:col>7</xdr:col>
                    <xdr:colOff>31750</xdr:colOff>
                    <xdr:row>167</xdr:row>
                    <xdr:rowOff>38100</xdr:rowOff>
                  </from>
                  <to>
                    <xdr:col>8</xdr:col>
                    <xdr:colOff>6350</xdr:colOff>
                    <xdr:row>167</xdr:row>
                    <xdr:rowOff>234950</xdr:rowOff>
                  </to>
                </anchor>
              </controlPr>
            </control>
          </mc:Choice>
        </mc:AlternateContent>
        <mc:AlternateContent xmlns:mc="http://schemas.openxmlformats.org/markup-compatibility/2006">
          <mc:Choice Requires="x14">
            <control shapeId="1293" r:id="rId41" name="CylDiam38">
              <controlPr defaultSize="0" autoLine="0" autoPict="0" macro="[0]!CylDiam1">
                <anchor moveWithCells="1">
                  <from>
                    <xdr:col>8</xdr:col>
                    <xdr:colOff>44450</xdr:colOff>
                    <xdr:row>167</xdr:row>
                    <xdr:rowOff>38100</xdr:rowOff>
                  </from>
                  <to>
                    <xdr:col>9</xdr:col>
                    <xdr:colOff>31750</xdr:colOff>
                    <xdr:row>167</xdr:row>
                    <xdr:rowOff>234950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O47"/>
  <sheetViews>
    <sheetView showGridLines="0" topLeftCell="A16" zoomScale="85" zoomScaleNormal="85" workbookViewId="0">
      <selection activeCell="E13" sqref="E13"/>
    </sheetView>
  </sheetViews>
  <sheetFormatPr defaultColWidth="9.08984375" defaultRowHeight="12.5"/>
  <cols>
    <col min="1" max="1" width="22.08984375" style="21" customWidth="1"/>
    <col min="2" max="3" width="11.453125" style="21" customWidth="1"/>
    <col min="4" max="4" width="12.453125" style="21" customWidth="1"/>
    <col min="5" max="8" width="11.453125" style="21" customWidth="1"/>
    <col min="9" max="9" width="11.08984375" style="21" customWidth="1"/>
    <col min="10" max="10" width="11.453125" style="21" customWidth="1"/>
    <col min="11" max="11" width="11.08984375" style="21" customWidth="1"/>
    <col min="12" max="12" width="9.08984375" style="21"/>
    <col min="13" max="13" width="26.36328125" style="21" bestFit="1" customWidth="1"/>
    <col min="14" max="14" width="3.36328125" style="21" customWidth="1"/>
    <col min="15" max="16384" width="9.08984375" style="21"/>
  </cols>
  <sheetData>
    <row r="1" spans="1:14" ht="51" customHeight="1">
      <c r="A1" s="723"/>
      <c r="B1" s="731"/>
      <c r="C1" s="731"/>
      <c r="D1" s="731"/>
      <c r="E1" s="731"/>
      <c r="F1" s="732"/>
      <c r="G1" s="747" t="s">
        <v>314</v>
      </c>
      <c r="H1" s="748"/>
      <c r="I1" s="748"/>
      <c r="J1" s="749"/>
      <c r="K1" s="725" t="s">
        <v>58</v>
      </c>
      <c r="L1" s="726"/>
      <c r="M1" s="150" t="s">
        <v>59</v>
      </c>
      <c r="N1" s="3"/>
    </row>
    <row r="2" spans="1:14" ht="20.25" customHeight="1">
      <c r="A2" s="724"/>
      <c r="B2" s="733"/>
      <c r="C2" s="733"/>
      <c r="D2" s="733"/>
      <c r="E2" s="733"/>
      <c r="F2" s="734"/>
      <c r="G2" s="750"/>
      <c r="H2" s="751"/>
      <c r="I2" s="751"/>
      <c r="J2" s="752"/>
      <c r="K2" s="719" t="str">
        <f>IF(Input!L2&lt;&gt;"",Input!L2,"")</f>
        <v/>
      </c>
      <c r="L2" s="720"/>
      <c r="M2" s="719" t="str">
        <f>IF(Input!N2&lt;&gt;"",Input!N2,"")</f>
        <v/>
      </c>
      <c r="N2" s="720"/>
    </row>
    <row r="3" spans="1:14" ht="14.25" customHeight="1">
      <c r="A3" s="4"/>
      <c r="B3" s="151"/>
      <c r="C3" s="721" t="str">
        <f>IF(Input!C3&lt;&gt;"",Input!C3,"")</f>
        <v>EX-26p</v>
      </c>
      <c r="D3" s="791">
        <f>IF(Input!D3&lt;&gt;"",Input!D3,"")</f>
        <v>44370.484340277777</v>
      </c>
      <c r="E3" s="792"/>
      <c r="F3" s="757" t="str">
        <f>IF(Input!F3&lt;&gt;"",Input!F3,"")</f>
        <v>Rev 5.0.0.8</v>
      </c>
      <c r="G3" s="759" t="s">
        <v>204</v>
      </c>
      <c r="H3" s="760"/>
      <c r="I3" s="760"/>
      <c r="J3" s="761"/>
      <c r="K3" s="765" t="str">
        <f>IF(Input!L3&lt;&gt;"",Input!L3,"")</f>
        <v xml:space="preserve">C26P  Vers.2.5.0.6   </v>
      </c>
      <c r="L3" s="765"/>
      <c r="M3" s="765"/>
      <c r="N3" s="766"/>
    </row>
    <row r="4" spans="1:14" ht="11.25" customHeight="1">
      <c r="A4" s="148"/>
      <c r="B4" s="149"/>
      <c r="C4" s="722"/>
      <c r="D4" s="793"/>
      <c r="E4" s="794"/>
      <c r="F4" s="758"/>
      <c r="G4" s="762"/>
      <c r="H4" s="763"/>
      <c r="I4" s="763"/>
      <c r="J4" s="764"/>
      <c r="K4" s="767"/>
      <c r="L4" s="767"/>
      <c r="M4" s="767"/>
      <c r="N4" s="768"/>
    </row>
    <row r="5" spans="1:14" ht="23.4" customHeight="1">
      <c r="A5" s="738" t="s">
        <v>61</v>
      </c>
      <c r="B5" s="739"/>
      <c r="C5" s="740"/>
      <c r="D5" s="769" t="str">
        <f>IF(Input!D5&lt;&gt;"",Input!D5,"")</f>
        <v/>
      </c>
      <c r="E5" s="770"/>
      <c r="F5" s="770"/>
      <c r="G5" s="770"/>
      <c r="H5" s="770"/>
      <c r="I5" s="770"/>
      <c r="J5" s="770"/>
      <c r="K5" s="770"/>
      <c r="L5" s="770"/>
      <c r="M5" s="770"/>
      <c r="N5" s="771"/>
    </row>
    <row r="6" spans="1:14">
      <c r="A6" s="785" t="s">
        <v>60</v>
      </c>
      <c r="B6" s="786"/>
      <c r="C6" s="787"/>
      <c r="D6" s="769" t="str">
        <f>IF(Input!D6&lt;&gt;"",Input!D6,"")</f>
        <v/>
      </c>
      <c r="E6" s="770"/>
      <c r="F6" s="770"/>
      <c r="G6" s="770"/>
      <c r="H6" s="770"/>
      <c r="I6" s="770"/>
      <c r="J6" s="770"/>
      <c r="K6" s="770"/>
      <c r="L6" s="770"/>
      <c r="M6" s="770"/>
      <c r="N6" s="771"/>
    </row>
    <row r="7" spans="1:14">
      <c r="A7" s="709"/>
      <c r="B7" s="710"/>
      <c r="C7" s="711"/>
      <c r="D7" s="788"/>
      <c r="E7" s="789"/>
      <c r="F7" s="789"/>
      <c r="G7" s="789"/>
      <c r="H7" s="789"/>
      <c r="I7" s="789"/>
      <c r="J7" s="789"/>
      <c r="K7" s="789"/>
      <c r="L7" s="789"/>
      <c r="M7" s="789"/>
      <c r="N7" s="790"/>
    </row>
    <row r="8" spans="1:14">
      <c r="A8" s="785" t="s">
        <v>62</v>
      </c>
      <c r="B8" s="786"/>
      <c r="C8" s="787"/>
      <c r="D8" s="769" t="str">
        <f>IF(Input!D8&lt;&gt;"",Input!D8,"")</f>
        <v/>
      </c>
      <c r="E8" s="770"/>
      <c r="F8" s="770"/>
      <c r="G8" s="770"/>
      <c r="H8" s="770"/>
      <c r="I8" s="770"/>
      <c r="J8" s="770"/>
      <c r="K8" s="770"/>
      <c r="L8" s="770"/>
      <c r="M8" s="770"/>
      <c r="N8" s="771"/>
    </row>
    <row r="9" spans="1:14">
      <c r="A9" s="709"/>
      <c r="B9" s="710"/>
      <c r="C9" s="711"/>
      <c r="D9" s="788"/>
      <c r="E9" s="789"/>
      <c r="F9" s="789"/>
      <c r="G9" s="789"/>
      <c r="H9" s="789"/>
      <c r="I9" s="789"/>
      <c r="J9" s="789"/>
      <c r="K9" s="789"/>
      <c r="L9" s="789"/>
      <c r="M9" s="789"/>
      <c r="N9" s="790"/>
    </row>
    <row r="10" spans="1:14">
      <c r="A10" s="22"/>
      <c r="B10" s="27"/>
      <c r="C10" s="23"/>
      <c r="D10" s="84"/>
      <c r="E10" s="77"/>
      <c r="F10" s="77"/>
      <c r="G10" s="84"/>
      <c r="H10" s="84"/>
      <c r="I10" s="84"/>
      <c r="J10" s="84"/>
      <c r="K10" s="76"/>
      <c r="L10" s="84"/>
      <c r="M10" s="88"/>
      <c r="N10" s="6"/>
    </row>
    <row r="11" spans="1:14" ht="13">
      <c r="A11" s="18" t="s">
        <v>114</v>
      </c>
      <c r="B11" s="114">
        <v>2</v>
      </c>
      <c r="C11" s="23"/>
      <c r="D11" s="51" t="s">
        <v>89</v>
      </c>
      <c r="E11" s="783" t="s">
        <v>1047</v>
      </c>
      <c r="F11" s="784"/>
      <c r="G11" s="23"/>
      <c r="H11" s="23"/>
      <c r="I11" s="5"/>
      <c r="J11" s="5"/>
      <c r="K11" s="5"/>
      <c r="L11" s="5"/>
      <c r="M11" s="5"/>
      <c r="N11" s="6"/>
    </row>
    <row r="12" spans="1:14" ht="13">
      <c r="A12" s="18"/>
      <c r="B12" s="23"/>
      <c r="C12" s="23"/>
      <c r="D12" s="1"/>
      <c r="E12" s="23"/>
      <c r="F12" s="23"/>
      <c r="G12" s="23"/>
      <c r="H12" s="23"/>
      <c r="I12" s="5"/>
      <c r="J12" s="111" t="s">
        <v>56</v>
      </c>
      <c r="K12" s="13"/>
      <c r="L12" s="5"/>
      <c r="M12" s="5"/>
      <c r="N12" s="6"/>
    </row>
    <row r="13" spans="1:14" ht="13">
      <c r="A13" s="18" t="s">
        <v>86</v>
      </c>
      <c r="B13" s="162" t="s">
        <v>1054</v>
      </c>
      <c r="C13" s="23"/>
      <c r="D13" s="51" t="s">
        <v>115</v>
      </c>
      <c r="E13" s="114">
        <v>18</v>
      </c>
      <c r="F13" s="23"/>
      <c r="G13" s="51" t="s">
        <v>349</v>
      </c>
      <c r="H13" s="114" t="s">
        <v>662</v>
      </c>
      <c r="I13" s="5"/>
      <c r="J13" s="7"/>
      <c r="K13" s="19" t="s">
        <v>109</v>
      </c>
      <c r="L13" s="5"/>
      <c r="M13" s="5"/>
      <c r="N13" s="6"/>
    </row>
    <row r="14" spans="1:14" ht="13">
      <c r="A14" s="18"/>
      <c r="B14" s="23"/>
      <c r="C14" s="23"/>
      <c r="D14" s="1"/>
      <c r="E14" s="23"/>
      <c r="F14" s="23"/>
      <c r="G14" s="23"/>
      <c r="H14" s="23"/>
      <c r="I14" s="26"/>
      <c r="J14" s="14"/>
      <c r="K14" s="5"/>
      <c r="L14" s="5"/>
      <c r="M14" s="5"/>
      <c r="N14" s="6"/>
    </row>
    <row r="15" spans="1:14" ht="13.5" thickBot="1">
      <c r="A15" s="18" t="s">
        <v>96</v>
      </c>
      <c r="B15" s="114">
        <v>290</v>
      </c>
      <c r="C15" s="23" t="s">
        <v>119</v>
      </c>
      <c r="D15" s="51" t="s">
        <v>116</v>
      </c>
      <c r="E15" s="121">
        <v>327</v>
      </c>
      <c r="F15" s="23" t="s">
        <v>0</v>
      </c>
      <c r="G15" s="67"/>
      <c r="H15" s="67"/>
      <c r="I15" s="11"/>
      <c r="J15" s="11"/>
      <c r="K15" s="11"/>
      <c r="L15" s="11"/>
      <c r="M15" s="11"/>
      <c r="N15" s="6"/>
    </row>
    <row r="16" spans="1:14" ht="12.75" customHeight="1" thickTop="1">
      <c r="A16" s="18" t="s">
        <v>639</v>
      </c>
      <c r="B16" s="114">
        <v>90</v>
      </c>
      <c r="C16" s="437" t="s">
        <v>119</v>
      </c>
      <c r="D16" s="1"/>
      <c r="E16" s="23"/>
      <c r="F16" s="23"/>
      <c r="G16" s="773" t="s">
        <v>151</v>
      </c>
      <c r="H16" s="774"/>
      <c r="I16" s="774"/>
      <c r="J16" s="774"/>
      <c r="K16" s="774"/>
      <c r="L16" s="775"/>
      <c r="M16" s="11"/>
      <c r="N16" s="6"/>
    </row>
    <row r="17" spans="1:15" ht="12.75" customHeight="1">
      <c r="A17" s="449" t="s">
        <v>655</v>
      </c>
      <c r="B17" s="452">
        <v>2</v>
      </c>
      <c r="C17" s="23"/>
      <c r="D17" s="51" t="s">
        <v>117</v>
      </c>
      <c r="E17" s="116">
        <v>3.16</v>
      </c>
      <c r="F17" s="5" t="s">
        <v>110</v>
      </c>
      <c r="G17" s="776"/>
      <c r="H17" s="777"/>
      <c r="I17" s="777"/>
      <c r="J17" s="777"/>
      <c r="K17" s="777"/>
      <c r="L17" s="778"/>
      <c r="M17" s="11"/>
      <c r="N17" s="6"/>
    </row>
    <row r="18" spans="1:15" ht="12.75" customHeight="1">
      <c r="A18" s="54" t="s">
        <v>134</v>
      </c>
      <c r="B18" s="121">
        <v>452</v>
      </c>
      <c r="C18" s="448" t="s">
        <v>120</v>
      </c>
      <c r="D18" s="1"/>
      <c r="E18" s="117"/>
      <c r="F18" s="5" t="s">
        <v>118</v>
      </c>
      <c r="G18" s="776"/>
      <c r="H18" s="777"/>
      <c r="I18" s="777"/>
      <c r="J18" s="777"/>
      <c r="K18" s="777"/>
      <c r="L18" s="778"/>
      <c r="M18" s="11"/>
      <c r="N18" s="6"/>
    </row>
    <row r="19" spans="1:15" ht="12.75" customHeight="1">
      <c r="A19" s="648" t="s">
        <v>1007</v>
      </c>
      <c r="B19" s="650">
        <f ca="1">IF(MotorType=5,"N/A",NOISE_AUTO!M24)</f>
        <v>86.040427942428309</v>
      </c>
      <c r="C19" s="649" t="s">
        <v>1028</v>
      </c>
      <c r="D19" s="1"/>
      <c r="E19" s="25"/>
      <c r="F19" s="5"/>
      <c r="G19" s="776"/>
      <c r="H19" s="777"/>
      <c r="I19" s="777"/>
      <c r="J19" s="777"/>
      <c r="K19" s="777"/>
      <c r="L19" s="778"/>
      <c r="M19" s="11"/>
      <c r="N19" s="6"/>
    </row>
    <row r="20" spans="1:15" ht="12.75" customHeight="1" thickBot="1">
      <c r="A20" s="100" t="s">
        <v>121</v>
      </c>
      <c r="B20" s="102"/>
      <c r="C20" s="199" t="s">
        <v>1048</v>
      </c>
      <c r="D20" s="200" t="s">
        <v>292</v>
      </c>
      <c r="E20" s="200" t="s">
        <v>292</v>
      </c>
      <c r="F20" s="23"/>
      <c r="G20" s="779"/>
      <c r="H20" s="780"/>
      <c r="I20" s="780"/>
      <c r="J20" s="780"/>
      <c r="K20" s="780"/>
      <c r="L20" s="781"/>
      <c r="M20" s="11"/>
      <c r="N20" s="6"/>
    </row>
    <row r="21" spans="1:15" ht="13.5" thickTop="1">
      <c r="A21" s="101" t="s">
        <v>122</v>
      </c>
      <c r="B21" s="129" t="s">
        <v>57</v>
      </c>
      <c r="C21" s="124">
        <v>5559.0277777777774</v>
      </c>
      <c r="D21" s="122" t="s">
        <v>292</v>
      </c>
      <c r="E21" s="122" t="s">
        <v>292</v>
      </c>
      <c r="F21" s="5"/>
      <c r="G21" s="11"/>
      <c r="H21" s="11"/>
      <c r="I21" s="11"/>
      <c r="J21" s="11"/>
      <c r="K21" s="11"/>
      <c r="L21" s="11"/>
      <c r="M21" s="11"/>
      <c r="N21" s="6"/>
    </row>
    <row r="22" spans="1:15" ht="12.75" customHeight="1">
      <c r="A22" s="104" t="s">
        <v>123</v>
      </c>
      <c r="B22" s="110" t="s">
        <v>57</v>
      </c>
      <c r="C22" s="123">
        <v>5730.93</v>
      </c>
      <c r="D22" s="123" t="s">
        <v>292</v>
      </c>
      <c r="E22" s="123" t="s">
        <v>292</v>
      </c>
      <c r="F22" s="5"/>
      <c r="G22" s="782" t="s">
        <v>1050</v>
      </c>
      <c r="H22" s="782"/>
      <c r="I22" s="782"/>
      <c r="J22" s="782"/>
      <c r="K22" s="782"/>
      <c r="L22" s="11"/>
      <c r="M22" s="697"/>
      <c r="N22" s="772"/>
    </row>
    <row r="23" spans="1:15" ht="13">
      <c r="A23" s="52"/>
      <c r="B23" s="109" t="s">
        <v>124</v>
      </c>
      <c r="C23" s="124">
        <v>515.46</v>
      </c>
      <c r="D23" s="124" t="s">
        <v>292</v>
      </c>
      <c r="E23" s="124" t="s">
        <v>292</v>
      </c>
      <c r="F23" s="5"/>
      <c r="G23" s="782"/>
      <c r="H23" s="782"/>
      <c r="I23" s="782"/>
      <c r="J23" s="782"/>
      <c r="K23" s="782"/>
      <c r="L23" s="11"/>
      <c r="M23" s="697"/>
      <c r="N23" s="772"/>
    </row>
    <row r="24" spans="1:15" ht="13">
      <c r="A24" s="101" t="s">
        <v>125</v>
      </c>
      <c r="B24" s="97"/>
      <c r="C24" s="115">
        <v>2.016</v>
      </c>
      <c r="D24" s="115" t="s">
        <v>292</v>
      </c>
      <c r="E24" s="115" t="s">
        <v>292</v>
      </c>
      <c r="F24" s="5"/>
      <c r="G24" s="782"/>
      <c r="H24" s="782"/>
      <c r="I24" s="782"/>
      <c r="J24" s="782"/>
      <c r="K24" s="782"/>
      <c r="L24" s="11"/>
      <c r="M24" s="697"/>
      <c r="N24" s="772"/>
    </row>
    <row r="25" spans="1:15" ht="13">
      <c r="A25" s="18"/>
      <c r="B25" s="23"/>
      <c r="C25" s="23"/>
      <c r="D25" s="1"/>
      <c r="E25" s="25"/>
      <c r="F25" s="5"/>
      <c r="G25" s="5"/>
      <c r="H25" s="5"/>
      <c r="I25" s="5"/>
      <c r="J25" s="5"/>
      <c r="K25" s="5"/>
      <c r="L25" s="5"/>
      <c r="M25" s="5"/>
      <c r="N25" s="6"/>
    </row>
    <row r="26" spans="1:15" ht="13">
      <c r="A26" s="18"/>
      <c r="B26" s="23"/>
      <c r="C26" s="23"/>
      <c r="D26" s="1"/>
      <c r="E26" s="25"/>
      <c r="F26" s="5"/>
      <c r="G26" s="5"/>
      <c r="H26" s="5"/>
      <c r="I26" s="5"/>
      <c r="J26" s="5"/>
      <c r="K26" s="62"/>
      <c r="L26" s="5"/>
      <c r="M26" s="5"/>
      <c r="N26" s="6"/>
    </row>
    <row r="27" spans="1:15" ht="13.5">
      <c r="A27" s="100" t="s">
        <v>132</v>
      </c>
      <c r="B27" s="128"/>
      <c r="C27" s="199" t="s">
        <v>1045</v>
      </c>
      <c r="D27" s="200" t="s">
        <v>1046</v>
      </c>
      <c r="E27" s="200" t="s">
        <v>292</v>
      </c>
      <c r="F27" s="200" t="s">
        <v>292</v>
      </c>
      <c r="G27" s="200" t="s">
        <v>292</v>
      </c>
      <c r="H27" s="200" t="s">
        <v>292</v>
      </c>
      <c r="I27" s="200" t="s">
        <v>292</v>
      </c>
      <c r="J27" s="200" t="s">
        <v>292</v>
      </c>
      <c r="K27" s="200" t="s">
        <v>292</v>
      </c>
      <c r="L27" s="200" t="s">
        <v>292</v>
      </c>
      <c r="M27" s="89"/>
      <c r="N27" s="6"/>
    </row>
    <row r="28" spans="1:15" ht="13">
      <c r="A28" s="155" t="s">
        <v>303</v>
      </c>
      <c r="B28" s="126"/>
      <c r="C28" s="127">
        <v>1</v>
      </c>
      <c r="D28" s="118">
        <v>1</v>
      </c>
      <c r="E28" s="118" t="s">
        <v>292</v>
      </c>
      <c r="F28" s="118" t="s">
        <v>292</v>
      </c>
      <c r="G28" s="118" t="s">
        <v>292</v>
      </c>
      <c r="H28" s="118" t="s">
        <v>292</v>
      </c>
      <c r="I28" s="118" t="s">
        <v>292</v>
      </c>
      <c r="J28" s="118" t="s">
        <v>292</v>
      </c>
      <c r="K28" s="118" t="s">
        <v>292</v>
      </c>
      <c r="L28" s="118" t="s">
        <v>292</v>
      </c>
      <c r="M28" s="5"/>
      <c r="N28" s="6"/>
    </row>
    <row r="29" spans="1:15" ht="13">
      <c r="A29" s="168" t="s">
        <v>126</v>
      </c>
      <c r="B29" s="169"/>
      <c r="C29" s="167">
        <v>2.5</v>
      </c>
      <c r="D29" s="167">
        <v>2.42</v>
      </c>
      <c r="E29" s="167" t="s">
        <v>292</v>
      </c>
      <c r="F29" s="167" t="s">
        <v>292</v>
      </c>
      <c r="G29" s="167" t="s">
        <v>292</v>
      </c>
      <c r="H29" s="167" t="s">
        <v>292</v>
      </c>
      <c r="I29" s="167" t="s">
        <v>292</v>
      </c>
      <c r="J29" s="167" t="s">
        <v>292</v>
      </c>
      <c r="K29" s="167" t="s">
        <v>292</v>
      </c>
      <c r="L29" s="167" t="s">
        <v>292</v>
      </c>
      <c r="M29" s="89"/>
      <c r="N29" s="6"/>
    </row>
    <row r="30" spans="1:15" ht="13">
      <c r="A30" s="170" t="s">
        <v>300</v>
      </c>
      <c r="B30" s="171" t="s">
        <v>140</v>
      </c>
      <c r="C30" s="167">
        <v>35</v>
      </c>
      <c r="D30" s="167">
        <v>35</v>
      </c>
      <c r="E30" s="167" t="s">
        <v>292</v>
      </c>
      <c r="F30" s="167" t="s">
        <v>292</v>
      </c>
      <c r="G30" s="167" t="s">
        <v>292</v>
      </c>
      <c r="H30" s="167" t="s">
        <v>292</v>
      </c>
      <c r="I30" s="167" t="s">
        <v>292</v>
      </c>
      <c r="J30" s="167" t="s">
        <v>292</v>
      </c>
      <c r="K30" s="167" t="s">
        <v>292</v>
      </c>
      <c r="L30" s="167" t="s">
        <v>292</v>
      </c>
      <c r="M30" s="90"/>
      <c r="N30" s="78"/>
      <c r="O30" s="79"/>
    </row>
    <row r="31" spans="1:15" ht="13">
      <c r="A31" s="168" t="s">
        <v>127</v>
      </c>
      <c r="B31" s="171" t="s">
        <v>138</v>
      </c>
      <c r="C31" s="167">
        <v>0.9</v>
      </c>
      <c r="D31" s="167">
        <v>2.0699999999999998</v>
      </c>
      <c r="E31" s="167" t="s">
        <v>292</v>
      </c>
      <c r="F31" s="167" t="s">
        <v>292</v>
      </c>
      <c r="G31" s="167" t="s">
        <v>292</v>
      </c>
      <c r="H31" s="167" t="s">
        <v>292</v>
      </c>
      <c r="I31" s="167" t="s">
        <v>292</v>
      </c>
      <c r="J31" s="167" t="s">
        <v>292</v>
      </c>
      <c r="K31" s="167" t="s">
        <v>292</v>
      </c>
      <c r="L31" s="167" t="s">
        <v>292</v>
      </c>
      <c r="M31" s="89"/>
      <c r="N31" s="6"/>
    </row>
    <row r="32" spans="1:15" ht="13">
      <c r="A32" s="170" t="s">
        <v>135</v>
      </c>
      <c r="B32" s="171" t="s">
        <v>138</v>
      </c>
      <c r="C32" s="167">
        <v>2.2400000000000002</v>
      </c>
      <c r="D32" s="167">
        <v>5</v>
      </c>
      <c r="E32" s="167" t="s">
        <v>292</v>
      </c>
      <c r="F32" s="167" t="s">
        <v>292</v>
      </c>
      <c r="G32" s="167" t="s">
        <v>292</v>
      </c>
      <c r="H32" s="167" t="s">
        <v>292</v>
      </c>
      <c r="I32" s="167" t="s">
        <v>292</v>
      </c>
      <c r="J32" s="167" t="s">
        <v>292</v>
      </c>
      <c r="K32" s="167" t="s">
        <v>292</v>
      </c>
      <c r="L32" s="167" t="s">
        <v>292</v>
      </c>
      <c r="M32" s="89"/>
      <c r="N32" s="6"/>
    </row>
    <row r="33" spans="1:15" ht="12.75" customHeight="1">
      <c r="A33" s="170" t="s">
        <v>302</v>
      </c>
      <c r="B33" s="171" t="s">
        <v>140</v>
      </c>
      <c r="C33" s="167">
        <v>127.18</v>
      </c>
      <c r="D33" s="167">
        <v>123.6</v>
      </c>
      <c r="E33" s="167" t="s">
        <v>292</v>
      </c>
      <c r="F33" s="167" t="s">
        <v>292</v>
      </c>
      <c r="G33" s="167" t="s">
        <v>292</v>
      </c>
      <c r="H33" s="167" t="s">
        <v>292</v>
      </c>
      <c r="I33" s="167" t="s">
        <v>292</v>
      </c>
      <c r="J33" s="167" t="s">
        <v>292</v>
      </c>
      <c r="K33" s="167" t="s">
        <v>292</v>
      </c>
      <c r="L33" s="167" t="s">
        <v>292</v>
      </c>
      <c r="M33" s="68"/>
      <c r="N33" s="6"/>
      <c r="O33" s="79"/>
    </row>
    <row r="34" spans="1:15" ht="13">
      <c r="A34" s="168" t="s">
        <v>128</v>
      </c>
      <c r="B34" s="169"/>
      <c r="C34" s="167">
        <v>1.4</v>
      </c>
      <c r="D34" s="167">
        <v>1.4</v>
      </c>
      <c r="E34" s="167" t="s">
        <v>292</v>
      </c>
      <c r="F34" s="167" t="s">
        <v>292</v>
      </c>
      <c r="G34" s="167" t="s">
        <v>292</v>
      </c>
      <c r="H34" s="167" t="s">
        <v>292</v>
      </c>
      <c r="I34" s="167" t="s">
        <v>292</v>
      </c>
      <c r="J34" s="167" t="s">
        <v>292</v>
      </c>
      <c r="K34" s="167" t="s">
        <v>292</v>
      </c>
      <c r="L34" s="167" t="s">
        <v>292</v>
      </c>
      <c r="M34" s="5"/>
      <c r="N34" s="6"/>
      <c r="O34" s="79"/>
    </row>
    <row r="35" spans="1:15" ht="13">
      <c r="A35" s="170" t="s">
        <v>301</v>
      </c>
      <c r="B35" s="172"/>
      <c r="C35" s="167">
        <v>1</v>
      </c>
      <c r="D35" s="167">
        <v>1</v>
      </c>
      <c r="E35" s="167" t="s">
        <v>292</v>
      </c>
      <c r="F35" s="167" t="s">
        <v>292</v>
      </c>
      <c r="G35" s="167" t="s">
        <v>292</v>
      </c>
      <c r="H35" s="167" t="s">
        <v>292</v>
      </c>
      <c r="I35" s="167" t="s">
        <v>292</v>
      </c>
      <c r="J35" s="167" t="s">
        <v>292</v>
      </c>
      <c r="K35" s="167" t="s">
        <v>292</v>
      </c>
      <c r="L35" s="167" t="s">
        <v>292</v>
      </c>
      <c r="M35" s="5"/>
      <c r="N35" s="6"/>
    </row>
    <row r="36" spans="1:15" ht="27" customHeight="1">
      <c r="A36" s="173" t="s">
        <v>656</v>
      </c>
      <c r="B36" s="442" t="s">
        <v>130</v>
      </c>
      <c r="C36" s="443">
        <v>15.28</v>
      </c>
      <c r="D36" s="443">
        <v>7.1</v>
      </c>
      <c r="E36" s="443" t="s">
        <v>292</v>
      </c>
      <c r="F36" s="443" t="s">
        <v>292</v>
      </c>
      <c r="G36" s="443" t="s">
        <v>292</v>
      </c>
      <c r="H36" s="443" t="s">
        <v>292</v>
      </c>
      <c r="I36" s="443" t="s">
        <v>292</v>
      </c>
      <c r="J36" s="443" t="s">
        <v>292</v>
      </c>
      <c r="K36" s="443" t="s">
        <v>292</v>
      </c>
      <c r="L36" s="443" t="s">
        <v>292</v>
      </c>
      <c r="M36" s="89"/>
      <c r="N36" s="6"/>
    </row>
    <row r="37" spans="1:15" ht="13">
      <c r="A37" s="98" t="s">
        <v>129</v>
      </c>
      <c r="B37" s="105" t="s">
        <v>119</v>
      </c>
      <c r="C37" s="118">
        <v>1000</v>
      </c>
      <c r="D37" s="118">
        <v>630</v>
      </c>
      <c r="E37" s="118" t="s">
        <v>292</v>
      </c>
      <c r="F37" s="118" t="s">
        <v>292</v>
      </c>
      <c r="G37" s="118" t="s">
        <v>292</v>
      </c>
      <c r="H37" s="118" t="s">
        <v>292</v>
      </c>
      <c r="I37" s="118" t="s">
        <v>292</v>
      </c>
      <c r="J37" s="118" t="s">
        <v>292</v>
      </c>
      <c r="K37" s="118" t="s">
        <v>292</v>
      </c>
      <c r="L37" s="118" t="s">
        <v>292</v>
      </c>
      <c r="M37" s="89"/>
      <c r="N37" s="6"/>
    </row>
    <row r="38" spans="1:15" ht="26">
      <c r="A38" s="153" t="s">
        <v>298</v>
      </c>
      <c r="B38" s="107" t="s">
        <v>131</v>
      </c>
      <c r="C38" s="122">
        <v>39716</v>
      </c>
      <c r="D38" s="122">
        <v>39716</v>
      </c>
      <c r="E38" s="122" t="s">
        <v>292</v>
      </c>
      <c r="F38" s="122" t="s">
        <v>292</v>
      </c>
      <c r="G38" s="122" t="s">
        <v>292</v>
      </c>
      <c r="H38" s="122" t="s">
        <v>292</v>
      </c>
      <c r="I38" s="122" t="s">
        <v>292</v>
      </c>
      <c r="J38" s="122" t="s">
        <v>292</v>
      </c>
      <c r="K38" s="122" t="s">
        <v>292</v>
      </c>
      <c r="L38" s="122" t="s">
        <v>292</v>
      </c>
      <c r="M38" s="5"/>
      <c r="N38" s="6"/>
    </row>
    <row r="39" spans="1:15" ht="26">
      <c r="A39" s="153" t="s">
        <v>299</v>
      </c>
      <c r="B39" s="107" t="s">
        <v>131</v>
      </c>
      <c r="C39" s="122">
        <v>36480</v>
      </c>
      <c r="D39" s="122">
        <v>36480</v>
      </c>
      <c r="E39" s="122" t="s">
        <v>292</v>
      </c>
      <c r="F39" s="122" t="s">
        <v>292</v>
      </c>
      <c r="G39" s="122" t="s">
        <v>292</v>
      </c>
      <c r="H39" s="122" t="s">
        <v>292</v>
      </c>
      <c r="I39" s="122" t="s">
        <v>292</v>
      </c>
      <c r="J39" s="122" t="s">
        <v>292</v>
      </c>
      <c r="K39" s="122" t="s">
        <v>292</v>
      </c>
      <c r="L39" s="122" t="s">
        <v>292</v>
      </c>
      <c r="M39" s="5"/>
      <c r="N39" s="6"/>
    </row>
    <row r="40" spans="1:15" ht="26">
      <c r="A40" s="152" t="s">
        <v>296</v>
      </c>
      <c r="B40" s="108" t="s">
        <v>131</v>
      </c>
      <c r="C40" s="122">
        <v>11145.04</v>
      </c>
      <c r="D40" s="122">
        <v>10341.24</v>
      </c>
      <c r="E40" s="122" t="s">
        <v>292</v>
      </c>
      <c r="F40" s="122" t="s">
        <v>292</v>
      </c>
      <c r="G40" s="122" t="s">
        <v>292</v>
      </c>
      <c r="H40" s="122" t="s">
        <v>292</v>
      </c>
      <c r="I40" s="122" t="s">
        <v>292</v>
      </c>
      <c r="J40" s="122" t="s">
        <v>292</v>
      </c>
      <c r="K40" s="122" t="s">
        <v>292</v>
      </c>
      <c r="L40" s="122" t="s">
        <v>292</v>
      </c>
      <c r="M40" s="89"/>
      <c r="N40" s="6"/>
    </row>
    <row r="41" spans="1:15" ht="26">
      <c r="A41" s="152" t="s">
        <v>297</v>
      </c>
      <c r="B41" s="108" t="s">
        <v>131</v>
      </c>
      <c r="C41" s="122">
        <v>11794.9</v>
      </c>
      <c r="D41" s="122">
        <v>8945.5400000000009</v>
      </c>
      <c r="E41" s="122" t="s">
        <v>292</v>
      </c>
      <c r="F41" s="122" t="s">
        <v>292</v>
      </c>
      <c r="G41" s="122" t="s">
        <v>292</v>
      </c>
      <c r="H41" s="122" t="s">
        <v>292</v>
      </c>
      <c r="I41" s="122" t="s">
        <v>292</v>
      </c>
      <c r="J41" s="122" t="s">
        <v>292</v>
      </c>
      <c r="K41" s="122" t="s">
        <v>292</v>
      </c>
      <c r="L41" s="122" t="s">
        <v>292</v>
      </c>
      <c r="M41" s="89"/>
      <c r="N41" s="6"/>
    </row>
    <row r="42" spans="1:15" ht="13">
      <c r="A42" s="152" t="s">
        <v>634</v>
      </c>
      <c r="B42" s="439" t="s">
        <v>130</v>
      </c>
      <c r="C42" s="441">
        <v>94.49</v>
      </c>
      <c r="D42" s="441">
        <v>86.5</v>
      </c>
      <c r="E42" s="441"/>
      <c r="F42" s="441"/>
      <c r="G42" s="441"/>
      <c r="H42" s="441"/>
      <c r="I42" s="441"/>
      <c r="J42" s="441"/>
      <c r="K42" s="441"/>
      <c r="L42" s="441"/>
      <c r="M42" s="89"/>
      <c r="N42" s="6"/>
    </row>
    <row r="43" spans="1:15" ht="20.25" customHeight="1">
      <c r="A43" s="477" t="s">
        <v>688</v>
      </c>
      <c r="B43" s="438" t="s">
        <v>140</v>
      </c>
      <c r="C43" s="441">
        <v>171</v>
      </c>
      <c r="D43" s="441">
        <v>161</v>
      </c>
      <c r="E43" s="441"/>
      <c r="F43" s="441"/>
      <c r="G43" s="441"/>
      <c r="H43" s="441"/>
      <c r="I43" s="441"/>
      <c r="J43" s="441"/>
      <c r="K43" s="441"/>
      <c r="L43" s="441"/>
      <c r="M43" s="89"/>
      <c r="N43" s="6"/>
    </row>
    <row r="44" spans="1:15" ht="15.75" customHeight="1">
      <c r="A44" s="477" t="s">
        <v>635</v>
      </c>
      <c r="B44" s="439" t="s">
        <v>130</v>
      </c>
      <c r="C44" s="441">
        <v>25.67</v>
      </c>
      <c r="D44" s="441">
        <v>25.67</v>
      </c>
      <c r="E44" s="441"/>
      <c r="F44" s="441"/>
      <c r="G44" s="441"/>
      <c r="H44" s="441"/>
      <c r="I44" s="441"/>
      <c r="J44" s="441"/>
      <c r="K44" s="441"/>
      <c r="L44" s="441"/>
      <c r="M44" s="89"/>
      <c r="N44" s="6"/>
    </row>
    <row r="45" spans="1:15" ht="24.75" customHeight="1">
      <c r="A45" s="477" t="s">
        <v>636</v>
      </c>
      <c r="B45" s="438" t="s">
        <v>140</v>
      </c>
      <c r="C45" s="441">
        <v>50.11</v>
      </c>
      <c r="D45" s="441">
        <v>50.11</v>
      </c>
      <c r="E45" s="441"/>
      <c r="F45" s="441"/>
      <c r="G45" s="441"/>
      <c r="H45" s="441"/>
      <c r="I45" s="441"/>
      <c r="J45" s="441"/>
      <c r="K45" s="441"/>
      <c r="L45" s="441"/>
      <c r="M45" s="89"/>
      <c r="N45" s="6"/>
    </row>
    <row r="46" spans="1:15" ht="13">
      <c r="A46" s="477" t="s">
        <v>637</v>
      </c>
      <c r="B46" s="440" t="s">
        <v>638</v>
      </c>
      <c r="C46" s="441">
        <v>614</v>
      </c>
      <c r="D46" s="441">
        <v>313</v>
      </c>
      <c r="E46" s="441"/>
      <c r="F46" s="441"/>
      <c r="G46" s="441"/>
      <c r="H46" s="441"/>
      <c r="I46" s="441"/>
      <c r="J46" s="441"/>
      <c r="K46" s="441"/>
      <c r="L46" s="441"/>
      <c r="M46" s="89"/>
      <c r="N46" s="6"/>
    </row>
    <row r="47" spans="1:15">
      <c r="A47" s="476"/>
      <c r="B47" s="13"/>
      <c r="C47" s="13"/>
      <c r="D47" s="13"/>
      <c r="E47" s="13"/>
      <c r="F47" s="13"/>
      <c r="G47" s="13"/>
      <c r="H47" s="13"/>
      <c r="I47" s="13"/>
      <c r="J47" s="13"/>
      <c r="K47" s="13"/>
      <c r="L47" s="13"/>
      <c r="M47" s="13"/>
      <c r="N47" s="8"/>
    </row>
  </sheetData>
  <sheetProtection algorithmName="SHA-512" hashValue="+fNTjhzey9sdxa6oTtr12jHe3l19LWmpFCGyB6e+rLDr65nfbEadwxOLuT21JoZz3lTz6UCJ0SjRkWOVpAQV3A==" saltValue="YXwmibv2wg/ot9DyO5IFoQ==" spinCount="100000" sheet="1" objects="1" scenarios="1"/>
  <mergeCells count="21">
    <mergeCell ref="M22:N24"/>
    <mergeCell ref="G16:L20"/>
    <mergeCell ref="G22:K24"/>
    <mergeCell ref="A1:A2"/>
    <mergeCell ref="B1:F2"/>
    <mergeCell ref="G1:J2"/>
    <mergeCell ref="K1:L1"/>
    <mergeCell ref="K2:L2"/>
    <mergeCell ref="E11:F11"/>
    <mergeCell ref="A6:C7"/>
    <mergeCell ref="A8:C9"/>
    <mergeCell ref="M2:N2"/>
    <mergeCell ref="D6:N7"/>
    <mergeCell ref="D8:N9"/>
    <mergeCell ref="C3:C4"/>
    <mergeCell ref="D3:E4"/>
    <mergeCell ref="F3:F4"/>
    <mergeCell ref="G3:J4"/>
    <mergeCell ref="K3:N4"/>
    <mergeCell ref="A5:C5"/>
    <mergeCell ref="D5:N5"/>
  </mergeCells>
  <phoneticPr fontId="0" type="noConversion"/>
  <conditionalFormatting sqref="C40">
    <cfRule type="cellIs" dxfId="103" priority="67" operator="greaterThan">
      <formula>$C$38</formula>
    </cfRule>
  </conditionalFormatting>
  <conditionalFormatting sqref="C41">
    <cfRule type="cellIs" dxfId="102" priority="66" operator="greaterThan">
      <formula>$C$39</formula>
    </cfRule>
  </conditionalFormatting>
  <conditionalFormatting sqref="D40">
    <cfRule type="cellIs" dxfId="101" priority="65" operator="greaterThan">
      <formula>$D$38</formula>
    </cfRule>
  </conditionalFormatting>
  <conditionalFormatting sqref="D41">
    <cfRule type="cellIs" dxfId="100" priority="64" operator="greaterThan">
      <formula>$D$39</formula>
    </cfRule>
  </conditionalFormatting>
  <conditionalFormatting sqref="E40">
    <cfRule type="cellIs" dxfId="99" priority="63" operator="greaterThan">
      <formula>$E$38</formula>
    </cfRule>
  </conditionalFormatting>
  <conditionalFormatting sqref="E41">
    <cfRule type="cellIs" dxfId="98" priority="62" operator="greaterThan">
      <formula>$E$39</formula>
    </cfRule>
  </conditionalFormatting>
  <conditionalFormatting sqref="F40">
    <cfRule type="cellIs" dxfId="97" priority="61" operator="greaterThan">
      <formula>$F$38</formula>
    </cfRule>
  </conditionalFormatting>
  <conditionalFormatting sqref="F41">
    <cfRule type="cellIs" dxfId="96" priority="60" operator="greaterThan">
      <formula>$F$39</formula>
    </cfRule>
  </conditionalFormatting>
  <conditionalFormatting sqref="G40">
    <cfRule type="cellIs" dxfId="95" priority="59" operator="greaterThan">
      <formula>$G$38</formula>
    </cfRule>
  </conditionalFormatting>
  <conditionalFormatting sqref="G41">
    <cfRule type="cellIs" dxfId="94" priority="58" operator="greaterThan">
      <formula>$G$39</formula>
    </cfRule>
  </conditionalFormatting>
  <conditionalFormatting sqref="H40">
    <cfRule type="cellIs" dxfId="93" priority="57" operator="greaterThan">
      <formula>$H$38</formula>
    </cfRule>
  </conditionalFormatting>
  <conditionalFormatting sqref="H41">
    <cfRule type="cellIs" dxfId="92" priority="56" operator="greaterThan">
      <formula>$H$39</formula>
    </cfRule>
  </conditionalFormatting>
  <conditionalFormatting sqref="I40">
    <cfRule type="cellIs" dxfId="91" priority="55" operator="greaterThan">
      <formula>$I$38</formula>
    </cfRule>
  </conditionalFormatting>
  <conditionalFormatting sqref="I41">
    <cfRule type="cellIs" dxfId="90" priority="54" operator="greaterThan">
      <formula>$I$39</formula>
    </cfRule>
  </conditionalFormatting>
  <conditionalFormatting sqref="J40">
    <cfRule type="cellIs" dxfId="89" priority="53" operator="greaterThan">
      <formula>$J$38</formula>
    </cfRule>
  </conditionalFormatting>
  <conditionalFormatting sqref="J41">
    <cfRule type="cellIs" dxfId="88" priority="52" operator="greaterThan">
      <formula>$J$39</formula>
    </cfRule>
  </conditionalFormatting>
  <conditionalFormatting sqref="K40">
    <cfRule type="cellIs" dxfId="87" priority="51" operator="greaterThan">
      <formula>$K$38</formula>
    </cfRule>
  </conditionalFormatting>
  <conditionalFormatting sqref="K41">
    <cfRule type="cellIs" dxfId="86" priority="50" operator="greaterThan">
      <formula>$K$39</formula>
    </cfRule>
  </conditionalFormatting>
  <conditionalFormatting sqref="C42">
    <cfRule type="cellIs" dxfId="85" priority="49" operator="greaterThan">
      <formula>$C$39</formula>
    </cfRule>
  </conditionalFormatting>
  <conditionalFormatting sqref="D42">
    <cfRule type="cellIs" dxfId="84" priority="48" operator="greaterThan">
      <formula>$D$39</formula>
    </cfRule>
  </conditionalFormatting>
  <conditionalFormatting sqref="E42">
    <cfRule type="cellIs" dxfId="83" priority="47" operator="greaterThan">
      <formula>$E$39</formula>
    </cfRule>
  </conditionalFormatting>
  <conditionalFormatting sqref="F42">
    <cfRule type="cellIs" dxfId="82" priority="46" operator="greaterThan">
      <formula>$F$39</formula>
    </cfRule>
  </conditionalFormatting>
  <conditionalFormatting sqref="G42">
    <cfRule type="cellIs" dxfId="81" priority="45" operator="greaterThan">
      <formula>$G$39</formula>
    </cfRule>
  </conditionalFormatting>
  <conditionalFormatting sqref="H42">
    <cfRule type="cellIs" dxfId="80" priority="44" operator="greaterThan">
      <formula>$H$39</formula>
    </cfRule>
  </conditionalFormatting>
  <conditionalFormatting sqref="I42">
    <cfRule type="cellIs" dxfId="79" priority="43" operator="greaterThan">
      <formula>$I$39</formula>
    </cfRule>
  </conditionalFormatting>
  <conditionalFormatting sqref="J42">
    <cfRule type="cellIs" dxfId="78" priority="42" operator="greaterThan">
      <formula>$J$39</formula>
    </cfRule>
  </conditionalFormatting>
  <conditionalFormatting sqref="K42">
    <cfRule type="cellIs" dxfId="77" priority="41" operator="greaterThan">
      <formula>$J$39</formula>
    </cfRule>
  </conditionalFormatting>
  <conditionalFormatting sqref="C43:C46">
    <cfRule type="cellIs" dxfId="76" priority="13" operator="greaterThan">
      <formula>$C$39</formula>
    </cfRule>
  </conditionalFormatting>
  <conditionalFormatting sqref="D43:D46">
    <cfRule type="cellIs" dxfId="75" priority="12" operator="greaterThan">
      <formula>$D$39</formula>
    </cfRule>
  </conditionalFormatting>
  <conditionalFormatting sqref="E43:E46">
    <cfRule type="cellIs" dxfId="74" priority="11" operator="greaterThan">
      <formula>$E$39</formula>
    </cfRule>
  </conditionalFormatting>
  <conditionalFormatting sqref="F43:F46">
    <cfRule type="cellIs" dxfId="73" priority="10" operator="greaterThan">
      <formula>$F$39</formula>
    </cfRule>
  </conditionalFormatting>
  <conditionalFormatting sqref="G43:G46">
    <cfRule type="cellIs" dxfId="72" priority="9" operator="greaterThan">
      <formula>$G$39</formula>
    </cfRule>
  </conditionalFormatting>
  <conditionalFormatting sqref="H43:H46">
    <cfRule type="cellIs" dxfId="71" priority="8" operator="greaterThan">
      <formula>$H$39</formula>
    </cfRule>
  </conditionalFormatting>
  <conditionalFormatting sqref="I43:I46">
    <cfRule type="cellIs" dxfId="70" priority="7" operator="greaterThan">
      <formula>$I$39</formula>
    </cfRule>
  </conditionalFormatting>
  <conditionalFormatting sqref="J43:J46">
    <cfRule type="cellIs" dxfId="69" priority="6" operator="greaterThan">
      <formula>$J$39</formula>
    </cfRule>
  </conditionalFormatting>
  <conditionalFormatting sqref="K43:K46">
    <cfRule type="cellIs" dxfId="68" priority="5" operator="greaterThan">
      <formula>$J$39</formula>
    </cfRule>
  </conditionalFormatting>
  <conditionalFormatting sqref="L40">
    <cfRule type="cellIs" dxfId="67" priority="4" operator="greaterThan">
      <formula>$L$38</formula>
    </cfRule>
  </conditionalFormatting>
  <conditionalFormatting sqref="L41">
    <cfRule type="cellIs" dxfId="66" priority="3" operator="greaterThan">
      <formula>$L$39</formula>
    </cfRule>
  </conditionalFormatting>
  <conditionalFormatting sqref="L42">
    <cfRule type="cellIs" dxfId="65" priority="2" operator="greaterThan">
      <formula>$J$39</formula>
    </cfRule>
  </conditionalFormatting>
  <conditionalFormatting sqref="L43:L46">
    <cfRule type="cellIs" dxfId="64" priority="1" operator="greaterThan">
      <formula>$J$39</formula>
    </cfRule>
  </conditionalFormatting>
  <printOptions horizontalCentered="1" verticalCentered="1"/>
  <pageMargins left="0.51181102362204722" right="0.51181102362204722" top="0.74803149606299213" bottom="0.74803149606299213" header="0.51181102362204722" footer="0.51181102362204722"/>
  <pageSetup paperSize="9" scale="54"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P71"/>
  <sheetViews>
    <sheetView showGridLines="0" topLeftCell="A16" zoomScale="80" zoomScaleNormal="80" workbookViewId="0">
      <selection activeCell="C12" sqref="C12"/>
    </sheetView>
  </sheetViews>
  <sheetFormatPr defaultColWidth="9.08984375" defaultRowHeight="12.5"/>
  <cols>
    <col min="1" max="1" width="25.36328125" style="21" customWidth="1"/>
    <col min="2" max="3" width="11.453125" style="21" customWidth="1"/>
    <col min="4" max="4" width="12.6328125" style="21" customWidth="1"/>
    <col min="5" max="10" width="11.453125" style="21" customWidth="1"/>
    <col min="11" max="11" width="10.90625" style="21" customWidth="1"/>
    <col min="12" max="12" width="8.6328125" style="21" customWidth="1"/>
    <col min="13" max="13" width="26.36328125" style="21" bestFit="1" customWidth="1"/>
    <col min="14" max="14" width="3.36328125" style="21" customWidth="1"/>
    <col min="15" max="16384" width="9.08984375" style="21"/>
  </cols>
  <sheetData>
    <row r="1" spans="1:15" ht="45" customHeight="1">
      <c r="A1" s="723"/>
      <c r="B1" s="731"/>
      <c r="C1" s="731"/>
      <c r="D1" s="731"/>
      <c r="E1" s="731"/>
      <c r="F1" s="732"/>
      <c r="G1" s="807" t="s">
        <v>320</v>
      </c>
      <c r="H1" s="808"/>
      <c r="I1" s="808"/>
      <c r="J1" s="809"/>
      <c r="K1" s="725" t="s">
        <v>58</v>
      </c>
      <c r="L1" s="726"/>
      <c r="M1" s="150" t="s">
        <v>59</v>
      </c>
      <c r="N1" s="3"/>
      <c r="O1" s="4"/>
    </row>
    <row r="2" spans="1:15" ht="20.25" customHeight="1">
      <c r="A2" s="724"/>
      <c r="B2" s="733"/>
      <c r="C2" s="733"/>
      <c r="D2" s="733"/>
      <c r="E2" s="733"/>
      <c r="F2" s="734"/>
      <c r="G2" s="810"/>
      <c r="H2" s="811"/>
      <c r="I2" s="811"/>
      <c r="J2" s="812"/>
      <c r="K2" s="719" t="str">
        <f>IF(Input!L2&lt;&gt;"",Input!L2,"")</f>
        <v/>
      </c>
      <c r="L2" s="720"/>
      <c r="M2" s="719" t="str">
        <f>IF(Input!N2&lt;&gt;"",Input!N2,"")</f>
        <v/>
      </c>
      <c r="N2" s="720"/>
      <c r="O2" s="4"/>
    </row>
    <row r="3" spans="1:15" ht="14">
      <c r="A3" s="4"/>
      <c r="B3" s="151"/>
      <c r="C3" s="721" t="str">
        <f>IF(Input!C3&lt;&gt;"",Input!C3,"")</f>
        <v>EX-26p</v>
      </c>
      <c r="D3" s="791">
        <f>IF(Input!D3&lt;&gt;"",Input!D3,"")</f>
        <v>44370.484340277777</v>
      </c>
      <c r="E3" s="792"/>
      <c r="F3" s="757" t="str">
        <f>IF(Input!F3&lt;&gt;"",Input!F3,"")</f>
        <v>Rev 5.0.0.8</v>
      </c>
      <c r="G3" s="759" t="s">
        <v>204</v>
      </c>
      <c r="H3" s="760"/>
      <c r="I3" s="760"/>
      <c r="J3" s="761"/>
      <c r="K3" s="765" t="str">
        <f>IF(Input!L3&lt;&gt;"",Input!L3,"")</f>
        <v xml:space="preserve">C26P  Vers.2.5.0.6   </v>
      </c>
      <c r="L3" s="765"/>
      <c r="M3" s="765"/>
      <c r="N3" s="766"/>
      <c r="O3" s="4"/>
    </row>
    <row r="4" spans="1:15">
      <c r="A4" s="148"/>
      <c r="B4" s="149"/>
      <c r="C4" s="722"/>
      <c r="D4" s="793"/>
      <c r="E4" s="794"/>
      <c r="F4" s="758"/>
      <c r="G4" s="762"/>
      <c r="H4" s="763"/>
      <c r="I4" s="763"/>
      <c r="J4" s="764"/>
      <c r="K4" s="767"/>
      <c r="L4" s="767"/>
      <c r="M4" s="767"/>
      <c r="N4" s="768"/>
      <c r="O4" s="4"/>
    </row>
    <row r="5" spans="1:15" ht="13">
      <c r="A5" s="738" t="s">
        <v>61</v>
      </c>
      <c r="B5" s="739"/>
      <c r="C5" s="740"/>
      <c r="D5" s="795" t="str">
        <f>IF(Input!D5&lt;&gt;"",Input!D5,"")</f>
        <v/>
      </c>
      <c r="E5" s="796"/>
      <c r="F5" s="796"/>
      <c r="G5" s="796"/>
      <c r="H5" s="796"/>
      <c r="I5" s="796"/>
      <c r="J5" s="796"/>
      <c r="K5" s="796"/>
      <c r="L5" s="796"/>
      <c r="M5" s="796"/>
      <c r="N5" s="797"/>
      <c r="O5" s="4"/>
    </row>
    <row r="6" spans="1:15">
      <c r="A6" s="785" t="s">
        <v>60</v>
      </c>
      <c r="B6" s="786"/>
      <c r="C6" s="787"/>
      <c r="D6" s="804" t="str">
        <f>IF(Input!D6&lt;&gt;"",Input!D6,"")</f>
        <v/>
      </c>
      <c r="E6" s="805"/>
      <c r="F6" s="805"/>
      <c r="G6" s="805"/>
      <c r="H6" s="805"/>
      <c r="I6" s="805"/>
      <c r="J6" s="805"/>
      <c r="K6" s="805"/>
      <c r="L6" s="805"/>
      <c r="M6" s="806"/>
      <c r="N6" s="5"/>
      <c r="O6" s="4"/>
    </row>
    <row r="7" spans="1:15">
      <c r="A7" s="709"/>
      <c r="B7" s="710"/>
      <c r="C7" s="711"/>
      <c r="D7" s="801"/>
      <c r="E7" s="802"/>
      <c r="F7" s="802"/>
      <c r="G7" s="802"/>
      <c r="H7" s="802"/>
      <c r="I7" s="802"/>
      <c r="J7" s="802"/>
      <c r="K7" s="802"/>
      <c r="L7" s="802"/>
      <c r="M7" s="803"/>
      <c r="N7" s="5"/>
      <c r="O7" s="4"/>
    </row>
    <row r="8" spans="1:15">
      <c r="A8" s="785" t="s">
        <v>62</v>
      </c>
      <c r="B8" s="786"/>
      <c r="C8" s="787"/>
      <c r="D8" s="798" t="str">
        <f>IF(Input!D8&lt;&gt;"",Input!D8,"")</f>
        <v/>
      </c>
      <c r="E8" s="799"/>
      <c r="F8" s="799"/>
      <c r="G8" s="799"/>
      <c r="H8" s="799"/>
      <c r="I8" s="799"/>
      <c r="J8" s="799"/>
      <c r="K8" s="799"/>
      <c r="L8" s="799"/>
      <c r="M8" s="800"/>
      <c r="N8" s="2"/>
      <c r="O8" s="4"/>
    </row>
    <row r="9" spans="1:15">
      <c r="A9" s="709"/>
      <c r="B9" s="710"/>
      <c r="C9" s="711"/>
      <c r="D9" s="801"/>
      <c r="E9" s="802"/>
      <c r="F9" s="802"/>
      <c r="G9" s="802"/>
      <c r="H9" s="802"/>
      <c r="I9" s="802"/>
      <c r="J9" s="802"/>
      <c r="K9" s="802"/>
      <c r="L9" s="802"/>
      <c r="M9" s="803"/>
      <c r="N9" s="13"/>
      <c r="O9" s="4"/>
    </row>
    <row r="10" spans="1:15">
      <c r="A10" s="22"/>
      <c r="B10" s="27"/>
      <c r="C10" s="23"/>
      <c r="D10" s="85"/>
      <c r="E10" s="80"/>
      <c r="F10" s="80"/>
      <c r="G10" s="85"/>
      <c r="H10" s="85"/>
      <c r="I10" s="85"/>
      <c r="J10" s="85"/>
      <c r="K10" s="85"/>
      <c r="L10" s="85"/>
      <c r="M10" s="91"/>
      <c r="N10" s="5"/>
      <c r="O10" s="4"/>
    </row>
    <row r="11" spans="1:15" ht="13">
      <c r="A11" s="18" t="s">
        <v>114</v>
      </c>
      <c r="B11" s="119">
        <v>2</v>
      </c>
      <c r="C11" s="23"/>
      <c r="D11" s="51" t="s">
        <v>89</v>
      </c>
      <c r="E11" s="783" t="s">
        <v>1047</v>
      </c>
      <c r="F11" s="784"/>
      <c r="G11" s="23"/>
      <c r="H11" s="23"/>
      <c r="I11" s="12"/>
      <c r="L11" s="5"/>
      <c r="M11" s="5"/>
      <c r="N11" s="5"/>
      <c r="O11" s="4"/>
    </row>
    <row r="12" spans="1:15" ht="13">
      <c r="A12" s="18"/>
      <c r="B12" s="23"/>
      <c r="C12" s="23"/>
      <c r="D12" s="1"/>
      <c r="E12" s="23"/>
      <c r="F12" s="23"/>
      <c r="G12" s="23"/>
      <c r="H12" s="23"/>
      <c r="I12" s="12"/>
      <c r="J12" s="111" t="s">
        <v>56</v>
      </c>
      <c r="K12" s="13"/>
      <c r="L12" s="5"/>
      <c r="M12" s="5"/>
      <c r="N12" s="5"/>
      <c r="O12" s="4"/>
    </row>
    <row r="13" spans="1:15" ht="13">
      <c r="A13" s="18" t="s">
        <v>86</v>
      </c>
      <c r="B13" s="58" t="s">
        <v>1054</v>
      </c>
      <c r="C13" s="23"/>
      <c r="D13" s="51" t="s">
        <v>115</v>
      </c>
      <c r="E13" s="114">
        <v>18</v>
      </c>
      <c r="F13" s="23"/>
      <c r="G13" s="51" t="s">
        <v>349</v>
      </c>
      <c r="H13" s="114" t="s">
        <v>662</v>
      </c>
      <c r="I13" s="5"/>
      <c r="J13" s="7"/>
      <c r="K13" s="19" t="s">
        <v>109</v>
      </c>
      <c r="L13" s="5"/>
      <c r="M13" s="5"/>
      <c r="N13" s="5"/>
      <c r="O13" s="4"/>
    </row>
    <row r="14" spans="1:15" ht="13">
      <c r="A14" s="18"/>
      <c r="B14" s="23"/>
      <c r="C14" s="23"/>
      <c r="D14" s="1"/>
      <c r="E14" s="23"/>
      <c r="F14" s="23"/>
      <c r="G14" s="23"/>
      <c r="H14" s="23"/>
      <c r="I14" s="26"/>
      <c r="J14" s="14"/>
      <c r="K14" s="5"/>
      <c r="L14" s="5"/>
      <c r="M14" s="5"/>
      <c r="N14" s="5"/>
      <c r="O14" s="4"/>
    </row>
    <row r="15" spans="1:15" ht="13.5" thickBot="1">
      <c r="A15" s="18" t="s">
        <v>96</v>
      </c>
      <c r="B15" s="114">
        <v>290</v>
      </c>
      <c r="C15" s="23" t="s">
        <v>119</v>
      </c>
      <c r="D15" s="51" t="s">
        <v>116</v>
      </c>
      <c r="E15" s="121">
        <v>327</v>
      </c>
      <c r="F15" s="23" t="s">
        <v>0</v>
      </c>
      <c r="G15" s="67"/>
      <c r="H15" s="67"/>
      <c r="I15" s="11"/>
      <c r="J15" s="11"/>
      <c r="K15" s="11"/>
      <c r="L15" s="11"/>
      <c r="M15" s="11"/>
      <c r="N15" s="5"/>
      <c r="O15" s="4"/>
    </row>
    <row r="16" spans="1:15" ht="12.75" customHeight="1" thickTop="1">
      <c r="A16" s="18" t="s">
        <v>639</v>
      </c>
      <c r="B16" s="114">
        <v>90</v>
      </c>
      <c r="C16" s="468" t="s">
        <v>119</v>
      </c>
      <c r="D16" s="1"/>
      <c r="E16" s="23"/>
      <c r="F16" s="23"/>
      <c r="G16" s="773" t="s">
        <v>151</v>
      </c>
      <c r="H16" s="774"/>
      <c r="I16" s="774"/>
      <c r="J16" s="774"/>
      <c r="K16" s="774"/>
      <c r="L16" s="775"/>
      <c r="M16" s="11"/>
      <c r="N16" s="5"/>
      <c r="O16" s="4"/>
    </row>
    <row r="17" spans="1:15" ht="12.75" customHeight="1">
      <c r="A17" s="450" t="s">
        <v>655</v>
      </c>
      <c r="B17" s="452">
        <v>2</v>
      </c>
      <c r="C17" s="23"/>
      <c r="D17" s="51" t="s">
        <v>117</v>
      </c>
      <c r="E17" s="116">
        <v>3.16</v>
      </c>
      <c r="F17" s="5" t="s">
        <v>110</v>
      </c>
      <c r="G17" s="776"/>
      <c r="H17" s="777"/>
      <c r="I17" s="777"/>
      <c r="J17" s="777"/>
      <c r="K17" s="777"/>
      <c r="L17" s="778"/>
      <c r="M17" s="11"/>
      <c r="N17" s="5"/>
      <c r="O17" s="4"/>
    </row>
    <row r="18" spans="1:15" ht="12.75" customHeight="1">
      <c r="A18" s="54" t="s">
        <v>134</v>
      </c>
      <c r="B18" s="121">
        <v>452</v>
      </c>
      <c r="C18" s="448" t="s">
        <v>120</v>
      </c>
      <c r="D18" s="1"/>
      <c r="E18" s="117"/>
      <c r="F18" s="5" t="s">
        <v>118</v>
      </c>
      <c r="G18" s="776"/>
      <c r="H18" s="777"/>
      <c r="I18" s="777"/>
      <c r="J18" s="777"/>
      <c r="K18" s="777"/>
      <c r="L18" s="778"/>
      <c r="M18" s="11"/>
      <c r="N18" s="5"/>
      <c r="O18" s="4"/>
    </row>
    <row r="19" spans="1:15" ht="12.75" customHeight="1">
      <c r="A19" s="648" t="s">
        <v>1007</v>
      </c>
      <c r="B19" s="650">
        <f ca="1">IF(MotorType=5,"N/A",NOISE_LI!M24)</f>
        <v>86.040427942428309</v>
      </c>
      <c r="C19" s="649" t="s">
        <v>1029</v>
      </c>
      <c r="D19" s="1"/>
      <c r="E19" s="25"/>
      <c r="F19" s="5"/>
      <c r="G19" s="776"/>
      <c r="H19" s="777"/>
      <c r="I19" s="777"/>
      <c r="J19" s="777"/>
      <c r="K19" s="777"/>
      <c r="L19" s="778"/>
      <c r="M19" s="11"/>
      <c r="N19" s="5"/>
      <c r="O19" s="4"/>
    </row>
    <row r="20" spans="1:15" ht="12.75" customHeight="1" thickBot="1">
      <c r="A20" s="100" t="s">
        <v>121</v>
      </c>
      <c r="B20" s="102"/>
      <c r="C20" s="201">
        <v>1</v>
      </c>
      <c r="D20" s="201"/>
      <c r="E20" s="201"/>
      <c r="F20" s="23"/>
      <c r="G20" s="779"/>
      <c r="H20" s="780"/>
      <c r="I20" s="780"/>
      <c r="J20" s="780"/>
      <c r="K20" s="780"/>
      <c r="L20" s="781"/>
      <c r="M20" s="11"/>
      <c r="N20" s="5"/>
      <c r="O20" s="4"/>
    </row>
    <row r="21" spans="1:15" ht="13.5" thickTop="1">
      <c r="A21" s="101" t="s">
        <v>122</v>
      </c>
      <c r="B21" s="105" t="s">
        <v>57</v>
      </c>
      <c r="C21" s="122">
        <v>5559.0277777777774</v>
      </c>
      <c r="D21" s="122"/>
      <c r="E21" s="122"/>
      <c r="F21" s="5"/>
      <c r="G21" s="11"/>
      <c r="H21" s="11"/>
      <c r="I21" s="11"/>
      <c r="J21" s="11"/>
      <c r="K21" s="11"/>
      <c r="L21" s="11"/>
      <c r="M21" s="11"/>
      <c r="N21" s="5"/>
      <c r="O21" s="4"/>
    </row>
    <row r="22" spans="1:15" ht="13">
      <c r="A22" s="104" t="s">
        <v>123</v>
      </c>
      <c r="B22" s="110" t="s">
        <v>57</v>
      </c>
      <c r="C22" s="123">
        <v>5730.93</v>
      </c>
      <c r="D22" s="123"/>
      <c r="E22" s="123"/>
      <c r="F22" s="5"/>
      <c r="G22" s="782" t="s">
        <v>1050</v>
      </c>
      <c r="H22" s="782"/>
      <c r="I22" s="782"/>
      <c r="J22" s="782"/>
      <c r="K22" s="782"/>
      <c r="L22" s="11"/>
      <c r="M22" s="11"/>
      <c r="N22" s="5"/>
      <c r="O22" s="4"/>
    </row>
    <row r="23" spans="1:15" ht="13">
      <c r="A23" s="52"/>
      <c r="B23" s="109" t="s">
        <v>124</v>
      </c>
      <c r="C23" s="124">
        <v>515.46</v>
      </c>
      <c r="D23" s="124"/>
      <c r="E23" s="124"/>
      <c r="F23" s="5"/>
      <c r="G23" s="782"/>
      <c r="H23" s="782"/>
      <c r="I23" s="782"/>
      <c r="J23" s="782"/>
      <c r="K23" s="782"/>
      <c r="L23" s="11"/>
      <c r="M23" s="11"/>
      <c r="N23" s="5"/>
      <c r="O23" s="4"/>
    </row>
    <row r="24" spans="1:15" ht="13">
      <c r="A24" s="101" t="s">
        <v>133</v>
      </c>
      <c r="B24" s="106" t="s">
        <v>57</v>
      </c>
      <c r="C24" s="122">
        <v>5730.93</v>
      </c>
      <c r="D24" s="122"/>
      <c r="E24" s="122"/>
      <c r="F24" s="5"/>
      <c r="G24" s="782"/>
      <c r="H24" s="782"/>
      <c r="I24" s="782"/>
      <c r="J24" s="782"/>
      <c r="K24" s="782"/>
      <c r="L24" s="11"/>
      <c r="M24" s="11"/>
      <c r="N24" s="5"/>
      <c r="O24" s="4"/>
    </row>
    <row r="25" spans="1:15" ht="13">
      <c r="A25" s="101" t="s">
        <v>125</v>
      </c>
      <c r="B25" s="97"/>
      <c r="C25" s="120">
        <v>2.016</v>
      </c>
      <c r="D25" s="120"/>
      <c r="E25" s="120"/>
      <c r="F25" s="5"/>
      <c r="G25" s="11"/>
      <c r="H25" s="11"/>
      <c r="I25" s="11"/>
      <c r="J25" s="11"/>
      <c r="K25" s="11"/>
      <c r="L25" s="11"/>
      <c r="M25" s="11"/>
      <c r="N25" s="5"/>
      <c r="O25" s="4"/>
    </row>
    <row r="26" spans="1:15" ht="13">
      <c r="A26" s="18"/>
      <c r="B26" s="23"/>
      <c r="C26" s="23"/>
      <c r="D26" s="23"/>
      <c r="E26" s="25"/>
      <c r="F26" s="5"/>
      <c r="G26" s="11"/>
      <c r="H26" s="11"/>
      <c r="I26" s="11"/>
      <c r="J26" s="11"/>
      <c r="K26" s="11"/>
      <c r="L26" s="11"/>
      <c r="M26" s="11"/>
      <c r="N26" s="5"/>
      <c r="O26" s="4"/>
    </row>
    <row r="27" spans="1:15" ht="13">
      <c r="A27" s="18"/>
      <c r="B27" s="23"/>
      <c r="C27" s="23"/>
      <c r="D27" s="23"/>
      <c r="E27" s="23"/>
      <c r="F27" s="23"/>
      <c r="G27" s="23"/>
      <c r="H27" s="23"/>
      <c r="I27" s="23"/>
      <c r="J27" s="23"/>
      <c r="K27" s="5"/>
      <c r="L27" s="5"/>
      <c r="M27" s="89"/>
      <c r="N27" s="5"/>
      <c r="O27" s="4"/>
    </row>
    <row r="28" spans="1:15" ht="13.5">
      <c r="A28" s="100" t="s">
        <v>132</v>
      </c>
      <c r="B28" s="103"/>
      <c r="C28" s="199" t="s">
        <v>1045</v>
      </c>
      <c r="D28" s="199" t="s">
        <v>1046</v>
      </c>
      <c r="E28" s="199" t="s">
        <v>292</v>
      </c>
      <c r="F28" s="199" t="s">
        <v>292</v>
      </c>
      <c r="G28" s="199" t="s">
        <v>292</v>
      </c>
      <c r="H28" s="199" t="s">
        <v>292</v>
      </c>
      <c r="I28" s="199" t="s">
        <v>292</v>
      </c>
      <c r="J28" s="199" t="s">
        <v>292</v>
      </c>
      <c r="K28" s="199" t="s">
        <v>292</v>
      </c>
      <c r="L28" s="199" t="s">
        <v>292</v>
      </c>
      <c r="M28" s="5"/>
      <c r="N28" s="5"/>
      <c r="O28" s="4"/>
    </row>
    <row r="29" spans="1:15" ht="13">
      <c r="A29" s="155" t="s">
        <v>303</v>
      </c>
      <c r="B29" s="97"/>
      <c r="C29" s="118">
        <v>1</v>
      </c>
      <c r="D29" s="118">
        <v>1</v>
      </c>
      <c r="E29" s="118" t="s">
        <v>292</v>
      </c>
      <c r="F29" s="118" t="s">
        <v>292</v>
      </c>
      <c r="G29" s="118" t="s">
        <v>292</v>
      </c>
      <c r="H29" s="118" t="s">
        <v>292</v>
      </c>
      <c r="I29" s="118" t="s">
        <v>292</v>
      </c>
      <c r="J29" s="118" t="s">
        <v>292</v>
      </c>
      <c r="K29" s="118" t="s">
        <v>292</v>
      </c>
      <c r="L29" s="118" t="s">
        <v>292</v>
      </c>
      <c r="M29" s="5"/>
      <c r="N29" s="5"/>
      <c r="O29" s="4"/>
    </row>
    <row r="30" spans="1:15" ht="13">
      <c r="A30" s="98" t="s">
        <v>126</v>
      </c>
      <c r="B30" s="97"/>
      <c r="C30" s="167">
        <v>2.5</v>
      </c>
      <c r="D30" s="167">
        <v>2.42</v>
      </c>
      <c r="E30" s="167" t="s">
        <v>292</v>
      </c>
      <c r="F30" s="167" t="s">
        <v>292</v>
      </c>
      <c r="G30" s="167" t="s">
        <v>292</v>
      </c>
      <c r="H30" s="167" t="s">
        <v>292</v>
      </c>
      <c r="I30" s="167" t="s">
        <v>292</v>
      </c>
      <c r="J30" s="167" t="s">
        <v>292</v>
      </c>
      <c r="K30" s="167" t="s">
        <v>292</v>
      </c>
      <c r="L30" s="167" t="s">
        <v>292</v>
      </c>
      <c r="M30" s="5"/>
      <c r="N30" s="5"/>
      <c r="O30" s="4"/>
    </row>
    <row r="31" spans="1:15" ht="13">
      <c r="A31" s="154" t="s">
        <v>300</v>
      </c>
      <c r="B31" s="105" t="s">
        <v>140</v>
      </c>
      <c r="C31" s="167">
        <v>35</v>
      </c>
      <c r="D31" s="167">
        <v>35</v>
      </c>
      <c r="E31" s="167" t="s">
        <v>292</v>
      </c>
      <c r="F31" s="167" t="s">
        <v>292</v>
      </c>
      <c r="G31" s="167" t="s">
        <v>292</v>
      </c>
      <c r="H31" s="167" t="s">
        <v>292</v>
      </c>
      <c r="I31" s="167" t="s">
        <v>292</v>
      </c>
      <c r="J31" s="167" t="s">
        <v>292</v>
      </c>
      <c r="K31" s="167" t="s">
        <v>292</v>
      </c>
      <c r="L31" s="167" t="s">
        <v>292</v>
      </c>
      <c r="M31" s="90"/>
      <c r="N31" s="5"/>
      <c r="O31" s="4"/>
    </row>
    <row r="32" spans="1:15" ht="13">
      <c r="A32" s="98" t="s">
        <v>127</v>
      </c>
      <c r="B32" s="105" t="s">
        <v>138</v>
      </c>
      <c r="C32" s="167">
        <v>0.9</v>
      </c>
      <c r="D32" s="167">
        <v>2.0699999999999998</v>
      </c>
      <c r="E32" s="167" t="s">
        <v>292</v>
      </c>
      <c r="F32" s="167" t="s">
        <v>292</v>
      </c>
      <c r="G32" s="167" t="s">
        <v>292</v>
      </c>
      <c r="H32" s="167" t="s">
        <v>292</v>
      </c>
      <c r="I32" s="167" t="s">
        <v>292</v>
      </c>
      <c r="J32" s="167" t="s">
        <v>292</v>
      </c>
      <c r="K32" s="167" t="s">
        <v>292</v>
      </c>
      <c r="L32" s="167" t="s">
        <v>292</v>
      </c>
      <c r="M32" s="89"/>
      <c r="N32" s="5"/>
      <c r="O32" s="4"/>
    </row>
    <row r="33" spans="1:15" ht="13">
      <c r="A33" s="155" t="s">
        <v>135</v>
      </c>
      <c r="B33" s="105" t="s">
        <v>138</v>
      </c>
      <c r="C33" s="167">
        <v>2.2400000000000002</v>
      </c>
      <c r="D33" s="167">
        <v>5</v>
      </c>
      <c r="E33" s="167" t="s">
        <v>292</v>
      </c>
      <c r="F33" s="167" t="s">
        <v>292</v>
      </c>
      <c r="G33" s="167" t="s">
        <v>292</v>
      </c>
      <c r="H33" s="167" t="s">
        <v>292</v>
      </c>
      <c r="I33" s="167" t="s">
        <v>292</v>
      </c>
      <c r="J33" s="167" t="s">
        <v>292</v>
      </c>
      <c r="K33" s="167" t="s">
        <v>292</v>
      </c>
      <c r="L33" s="167" t="s">
        <v>292</v>
      </c>
      <c r="M33" s="5"/>
      <c r="N33" s="5"/>
      <c r="O33" s="4"/>
    </row>
    <row r="34" spans="1:15" ht="14.25" customHeight="1">
      <c r="A34" s="155" t="s">
        <v>302</v>
      </c>
      <c r="B34" s="105" t="s">
        <v>140</v>
      </c>
      <c r="C34" s="167">
        <v>127.18</v>
      </c>
      <c r="D34" s="167">
        <v>123.6</v>
      </c>
      <c r="E34" s="167" t="s">
        <v>292</v>
      </c>
      <c r="F34" s="167" t="s">
        <v>292</v>
      </c>
      <c r="G34" s="167" t="s">
        <v>292</v>
      </c>
      <c r="H34" s="167" t="s">
        <v>292</v>
      </c>
      <c r="I34" s="167" t="s">
        <v>292</v>
      </c>
      <c r="J34" s="167" t="s">
        <v>292</v>
      </c>
      <c r="K34" s="167" t="s">
        <v>292</v>
      </c>
      <c r="L34" s="167" t="s">
        <v>292</v>
      </c>
      <c r="M34" s="68"/>
      <c r="N34" s="5"/>
      <c r="O34" s="4"/>
    </row>
    <row r="35" spans="1:15" ht="13">
      <c r="A35" s="98" t="s">
        <v>128</v>
      </c>
      <c r="B35" s="97"/>
      <c r="C35" s="167">
        <v>1.4</v>
      </c>
      <c r="D35" s="167">
        <v>1.4</v>
      </c>
      <c r="E35" s="167" t="s">
        <v>292</v>
      </c>
      <c r="F35" s="167" t="s">
        <v>292</v>
      </c>
      <c r="G35" s="167" t="s">
        <v>292</v>
      </c>
      <c r="H35" s="167" t="s">
        <v>292</v>
      </c>
      <c r="I35" s="167" t="s">
        <v>292</v>
      </c>
      <c r="J35" s="167" t="s">
        <v>292</v>
      </c>
      <c r="K35" s="167" t="s">
        <v>292</v>
      </c>
      <c r="L35" s="167" t="s">
        <v>292</v>
      </c>
      <c r="M35" s="5"/>
      <c r="N35" s="5"/>
      <c r="O35" s="4"/>
    </row>
    <row r="36" spans="1:15" ht="13">
      <c r="A36" s="155" t="s">
        <v>301</v>
      </c>
      <c r="B36" s="99"/>
      <c r="C36" s="167">
        <v>1</v>
      </c>
      <c r="D36" s="167">
        <v>1</v>
      </c>
      <c r="E36" s="167" t="s">
        <v>292</v>
      </c>
      <c r="F36" s="167" t="s">
        <v>292</v>
      </c>
      <c r="G36" s="167" t="s">
        <v>292</v>
      </c>
      <c r="H36" s="167" t="s">
        <v>292</v>
      </c>
      <c r="I36" s="167" t="s">
        <v>292</v>
      </c>
      <c r="J36" s="167" t="s">
        <v>292</v>
      </c>
      <c r="K36" s="167" t="s">
        <v>292</v>
      </c>
      <c r="L36" s="167" t="s">
        <v>292</v>
      </c>
      <c r="M36" s="5"/>
      <c r="N36" s="5"/>
      <c r="O36" s="4"/>
    </row>
    <row r="37" spans="1:15" ht="29.25" customHeight="1">
      <c r="A37" s="153" t="s">
        <v>641</v>
      </c>
      <c r="B37" s="444" t="s">
        <v>130</v>
      </c>
      <c r="C37" s="445">
        <v>15.28</v>
      </c>
      <c r="D37" s="445">
        <v>7.1</v>
      </c>
      <c r="E37" s="445" t="s">
        <v>292</v>
      </c>
      <c r="F37" s="445" t="s">
        <v>292</v>
      </c>
      <c r="G37" s="445" t="s">
        <v>292</v>
      </c>
      <c r="H37" s="445" t="s">
        <v>292</v>
      </c>
      <c r="I37" s="445" t="s">
        <v>292</v>
      </c>
      <c r="J37" s="445" t="s">
        <v>292</v>
      </c>
      <c r="K37" s="445" t="s">
        <v>292</v>
      </c>
      <c r="L37" s="445" t="s">
        <v>292</v>
      </c>
      <c r="M37" s="5"/>
      <c r="N37" s="5"/>
      <c r="O37" s="4"/>
    </row>
    <row r="38" spans="1:15" ht="13">
      <c r="A38" s="98" t="s">
        <v>129</v>
      </c>
      <c r="B38" s="105" t="s">
        <v>119</v>
      </c>
      <c r="C38" s="118">
        <v>1000</v>
      </c>
      <c r="D38" s="118">
        <v>630</v>
      </c>
      <c r="E38" s="118" t="s">
        <v>292</v>
      </c>
      <c r="F38" s="118" t="s">
        <v>292</v>
      </c>
      <c r="G38" s="118" t="s">
        <v>292</v>
      </c>
      <c r="H38" s="118" t="s">
        <v>292</v>
      </c>
      <c r="I38" s="118" t="s">
        <v>292</v>
      </c>
      <c r="J38" s="118" t="s">
        <v>292</v>
      </c>
      <c r="K38" s="118" t="s">
        <v>292</v>
      </c>
      <c r="L38" s="118" t="s">
        <v>292</v>
      </c>
      <c r="M38" s="5"/>
      <c r="N38" s="5"/>
      <c r="O38" s="4"/>
    </row>
    <row r="39" spans="1:15" ht="26">
      <c r="A39" s="153" t="s">
        <v>298</v>
      </c>
      <c r="B39" s="107" t="s">
        <v>131</v>
      </c>
      <c r="C39" s="122">
        <v>39716</v>
      </c>
      <c r="D39" s="122">
        <v>39716</v>
      </c>
      <c r="E39" s="122" t="s">
        <v>292</v>
      </c>
      <c r="F39" s="122" t="s">
        <v>292</v>
      </c>
      <c r="G39" s="122" t="s">
        <v>292</v>
      </c>
      <c r="H39" s="122" t="s">
        <v>292</v>
      </c>
      <c r="I39" s="122" t="s">
        <v>292</v>
      </c>
      <c r="J39" s="122" t="s">
        <v>292</v>
      </c>
      <c r="K39" s="122" t="s">
        <v>292</v>
      </c>
      <c r="L39" s="122" t="s">
        <v>292</v>
      </c>
      <c r="M39" s="5"/>
      <c r="N39" s="6"/>
      <c r="O39" s="5"/>
    </row>
    <row r="40" spans="1:15" ht="13">
      <c r="A40" s="153" t="s">
        <v>299</v>
      </c>
      <c r="B40" s="107" t="s">
        <v>131</v>
      </c>
      <c r="C40" s="122">
        <v>36480</v>
      </c>
      <c r="D40" s="122">
        <v>36480</v>
      </c>
      <c r="E40" s="122" t="s">
        <v>292</v>
      </c>
      <c r="F40" s="122" t="s">
        <v>292</v>
      </c>
      <c r="G40" s="122" t="s">
        <v>292</v>
      </c>
      <c r="H40" s="122" t="s">
        <v>292</v>
      </c>
      <c r="I40" s="122" t="s">
        <v>292</v>
      </c>
      <c r="J40" s="122" t="s">
        <v>292</v>
      </c>
      <c r="K40" s="122" t="s">
        <v>292</v>
      </c>
      <c r="L40" s="122" t="s">
        <v>292</v>
      </c>
      <c r="M40" s="5"/>
      <c r="N40" s="6"/>
      <c r="O40" s="5"/>
    </row>
    <row r="41" spans="1:15" ht="26">
      <c r="A41" s="152" t="s">
        <v>296</v>
      </c>
      <c r="B41" s="108" t="s">
        <v>131</v>
      </c>
      <c r="C41" s="122">
        <v>11145.04</v>
      </c>
      <c r="D41" s="122">
        <v>10341.24</v>
      </c>
      <c r="E41" s="122" t="s">
        <v>292</v>
      </c>
      <c r="F41" s="122" t="s">
        <v>292</v>
      </c>
      <c r="G41" s="122" t="s">
        <v>292</v>
      </c>
      <c r="H41" s="122" t="s">
        <v>292</v>
      </c>
      <c r="I41" s="122" t="s">
        <v>292</v>
      </c>
      <c r="J41" s="122" t="s">
        <v>292</v>
      </c>
      <c r="K41" s="122" t="s">
        <v>292</v>
      </c>
      <c r="L41" s="122" t="s">
        <v>292</v>
      </c>
      <c r="M41" s="5"/>
      <c r="N41" s="6"/>
      <c r="O41" s="5"/>
    </row>
    <row r="42" spans="1:15" ht="26">
      <c r="A42" s="152" t="s">
        <v>297</v>
      </c>
      <c r="B42" s="108" t="s">
        <v>131</v>
      </c>
      <c r="C42" s="122">
        <v>11794.9</v>
      </c>
      <c r="D42" s="122">
        <v>8945.5400000000009</v>
      </c>
      <c r="E42" s="122" t="s">
        <v>292</v>
      </c>
      <c r="F42" s="122" t="s">
        <v>292</v>
      </c>
      <c r="G42" s="122" t="s">
        <v>292</v>
      </c>
      <c r="H42" s="122" t="s">
        <v>292</v>
      </c>
      <c r="I42" s="122" t="s">
        <v>292</v>
      </c>
      <c r="J42" s="122" t="s">
        <v>292</v>
      </c>
      <c r="K42" s="122" t="s">
        <v>292</v>
      </c>
      <c r="L42" s="122" t="s">
        <v>292</v>
      </c>
      <c r="M42" s="5"/>
      <c r="N42" s="6"/>
      <c r="O42" s="5"/>
    </row>
    <row r="43" spans="1:15" ht="13">
      <c r="A43" s="152" t="s">
        <v>634</v>
      </c>
      <c r="B43" s="439" t="s">
        <v>130</v>
      </c>
      <c r="C43" s="441">
        <v>94.49</v>
      </c>
      <c r="D43" s="441">
        <v>86.5</v>
      </c>
      <c r="E43" s="441"/>
      <c r="F43" s="441"/>
      <c r="G43" s="441"/>
      <c r="H43" s="441"/>
      <c r="I43" s="441"/>
      <c r="J43" s="441"/>
      <c r="K43" s="441"/>
      <c r="L43" s="441"/>
      <c r="M43" s="5"/>
      <c r="N43" s="6"/>
      <c r="O43" s="5"/>
    </row>
    <row r="44" spans="1:15" ht="13">
      <c r="A44" s="477" t="s">
        <v>688</v>
      </c>
      <c r="B44" s="438" t="s">
        <v>140</v>
      </c>
      <c r="C44" s="441">
        <v>171</v>
      </c>
      <c r="D44" s="441">
        <v>161</v>
      </c>
      <c r="E44" s="441"/>
      <c r="F44" s="441"/>
      <c r="G44" s="441"/>
      <c r="H44" s="441"/>
      <c r="I44" s="441"/>
      <c r="J44" s="441"/>
      <c r="K44" s="441"/>
      <c r="L44" s="441"/>
      <c r="M44" s="5"/>
      <c r="N44" s="6"/>
      <c r="O44" s="5"/>
    </row>
    <row r="45" spans="1:15" ht="13">
      <c r="A45" s="477" t="s">
        <v>635</v>
      </c>
      <c r="B45" s="439" t="s">
        <v>130</v>
      </c>
      <c r="C45" s="441">
        <v>25.67</v>
      </c>
      <c r="D45" s="441">
        <v>25.67</v>
      </c>
      <c r="E45" s="441"/>
      <c r="F45" s="441"/>
      <c r="G45" s="441"/>
      <c r="H45" s="441"/>
      <c r="I45" s="441"/>
      <c r="J45" s="441"/>
      <c r="K45" s="441"/>
      <c r="L45" s="441"/>
      <c r="M45" s="5"/>
      <c r="N45" s="6"/>
      <c r="O45" s="5"/>
    </row>
    <row r="46" spans="1:15" ht="13">
      <c r="A46" s="477" t="s">
        <v>636</v>
      </c>
      <c r="B46" s="438" t="s">
        <v>140</v>
      </c>
      <c r="C46" s="441">
        <v>50.11</v>
      </c>
      <c r="D46" s="441">
        <v>50.11</v>
      </c>
      <c r="E46" s="441"/>
      <c r="F46" s="441"/>
      <c r="G46" s="441"/>
      <c r="H46" s="441"/>
      <c r="I46" s="441"/>
      <c r="J46" s="441"/>
      <c r="K46" s="441"/>
      <c r="L46" s="441"/>
      <c r="M46" s="5"/>
      <c r="N46" s="6"/>
      <c r="O46" s="5"/>
    </row>
    <row r="47" spans="1:15" ht="13">
      <c r="A47" s="477" t="s">
        <v>637</v>
      </c>
      <c r="B47" s="440" t="s">
        <v>638</v>
      </c>
      <c r="C47" s="441">
        <v>614</v>
      </c>
      <c r="D47" s="441">
        <v>313</v>
      </c>
      <c r="E47" s="441"/>
      <c r="F47" s="441"/>
      <c r="G47" s="441"/>
      <c r="H47" s="441"/>
      <c r="I47" s="441"/>
      <c r="J47" s="441"/>
      <c r="K47" s="441"/>
      <c r="L47" s="441"/>
      <c r="M47" s="5"/>
      <c r="N47" s="6"/>
      <c r="O47" s="5"/>
    </row>
    <row r="48" spans="1:15">
      <c r="A48" s="13"/>
      <c r="B48" s="13"/>
      <c r="C48" s="13"/>
      <c r="D48" s="13"/>
      <c r="E48" s="13"/>
      <c r="F48" s="13"/>
      <c r="G48" s="13"/>
      <c r="H48" s="13"/>
      <c r="I48" s="13"/>
      <c r="J48" s="13"/>
      <c r="K48" s="13"/>
      <c r="L48" s="13"/>
      <c r="M48" s="13"/>
      <c r="N48" s="8"/>
    </row>
    <row r="56" spans="1:16" ht="13">
      <c r="A56" s="125"/>
      <c r="B56" s="11"/>
      <c r="C56" s="11"/>
      <c r="D56" s="11"/>
      <c r="E56" s="11"/>
      <c r="F56" s="11"/>
      <c r="G56" s="11"/>
      <c r="H56" s="11"/>
      <c r="I56" s="11"/>
      <c r="J56" s="11"/>
      <c r="K56" s="11"/>
      <c r="L56" s="11"/>
    </row>
    <row r="57" spans="1:16" ht="13">
      <c r="A57" s="125"/>
      <c r="B57" s="11"/>
      <c r="C57" s="11"/>
      <c r="D57" s="11"/>
      <c r="E57" s="11"/>
      <c r="F57" s="11"/>
      <c r="G57" s="11"/>
      <c r="H57" s="11"/>
      <c r="I57" s="11"/>
      <c r="J57" s="11"/>
      <c r="K57" s="11"/>
      <c r="L57" s="11"/>
    </row>
    <row r="58" spans="1:16" ht="13">
      <c r="A58" s="69"/>
      <c r="B58" s="69"/>
      <c r="C58" s="69"/>
      <c r="D58" s="69"/>
      <c r="E58" s="69"/>
      <c r="F58" s="69"/>
      <c r="G58" s="69"/>
      <c r="H58" s="69"/>
      <c r="I58" s="69"/>
      <c r="J58" s="69"/>
      <c r="K58" s="69"/>
      <c r="L58" s="69"/>
    </row>
    <row r="59" spans="1:16" ht="13">
      <c r="A59" s="69"/>
      <c r="B59" s="69"/>
      <c r="C59" s="69"/>
      <c r="D59" s="69"/>
      <c r="E59" s="69"/>
      <c r="F59" s="69"/>
      <c r="G59" s="69"/>
      <c r="H59" s="69"/>
      <c r="I59" s="69"/>
      <c r="J59" s="69"/>
      <c r="K59" s="69"/>
      <c r="L59" s="69"/>
    </row>
    <row r="60" spans="1:16" s="5" customFormat="1" ht="13">
      <c r="A60" s="69"/>
      <c r="B60" s="69"/>
      <c r="C60" s="69"/>
      <c r="D60" s="69"/>
      <c r="E60" s="69"/>
      <c r="F60" s="69"/>
      <c r="G60" s="69"/>
      <c r="H60" s="69"/>
      <c r="I60" s="69"/>
      <c r="J60" s="69"/>
      <c r="K60" s="69"/>
      <c r="L60" s="69"/>
      <c r="M60" s="21"/>
      <c r="N60" s="21"/>
      <c r="O60" s="21"/>
      <c r="P60" s="21"/>
    </row>
    <row r="61" spans="1:16" s="5" customFormat="1" ht="13">
      <c r="A61" s="69"/>
      <c r="B61" s="69"/>
      <c r="C61" s="69"/>
      <c r="D61" s="69"/>
      <c r="E61" s="69"/>
      <c r="F61" s="69"/>
      <c r="G61" s="69"/>
      <c r="H61" s="69"/>
      <c r="I61" s="69"/>
      <c r="J61" s="69"/>
      <c r="K61" s="69"/>
      <c r="L61" s="69"/>
      <c r="M61" s="21"/>
      <c r="N61" s="21"/>
      <c r="O61" s="21"/>
      <c r="P61" s="21"/>
    </row>
    <row r="62" spans="1:16" ht="13">
      <c r="A62" s="69"/>
      <c r="B62" s="69"/>
      <c r="C62" s="69"/>
      <c r="D62" s="69"/>
      <c r="E62" s="69"/>
      <c r="F62" s="69"/>
      <c r="G62" s="69"/>
      <c r="H62" s="69"/>
      <c r="I62" s="69"/>
      <c r="J62" s="69"/>
      <c r="K62" s="69"/>
      <c r="L62" s="69"/>
      <c r="M62" s="69"/>
      <c r="N62" s="69"/>
      <c r="O62" s="69"/>
      <c r="P62" s="69"/>
    </row>
    <row r="63" spans="1:16" ht="13">
      <c r="A63" s="69"/>
      <c r="B63" s="69"/>
      <c r="C63" s="69"/>
      <c r="D63" s="69"/>
      <c r="E63" s="69"/>
      <c r="F63" s="69"/>
      <c r="G63" s="69"/>
      <c r="H63" s="69"/>
      <c r="I63" s="69"/>
      <c r="J63" s="69"/>
      <c r="K63" s="69"/>
      <c r="L63" s="69"/>
      <c r="M63" s="69"/>
      <c r="N63" s="69"/>
      <c r="O63" s="69"/>
      <c r="P63" s="69"/>
    </row>
    <row r="64" spans="1:16" ht="13">
      <c r="A64" s="69"/>
      <c r="B64" s="69"/>
      <c r="C64" s="69"/>
      <c r="D64" s="69"/>
      <c r="E64" s="69"/>
      <c r="F64" s="69"/>
      <c r="G64" s="69"/>
      <c r="H64" s="69"/>
      <c r="I64" s="69"/>
      <c r="J64" s="69"/>
      <c r="K64" s="69"/>
      <c r="L64" s="69"/>
      <c r="M64" s="69"/>
      <c r="N64" s="69"/>
      <c r="O64" s="69"/>
      <c r="P64" s="69"/>
    </row>
    <row r="65" spans="2:11" ht="13">
      <c r="B65" s="69"/>
      <c r="C65" s="69"/>
      <c r="D65" s="69"/>
      <c r="E65" s="69"/>
      <c r="F65" s="69"/>
      <c r="G65" s="69"/>
      <c r="H65" s="69"/>
      <c r="I65" s="69"/>
      <c r="J65" s="69"/>
      <c r="K65" s="69"/>
    </row>
    <row r="66" spans="2:11" ht="13">
      <c r="B66" s="69"/>
      <c r="C66" s="69"/>
      <c r="D66" s="69"/>
      <c r="E66" s="69"/>
      <c r="F66" s="69"/>
      <c r="G66" s="69"/>
      <c r="H66" s="69"/>
      <c r="I66" s="69"/>
      <c r="J66" s="69"/>
      <c r="K66" s="69"/>
    </row>
    <row r="67" spans="2:11" ht="13">
      <c r="B67" s="69"/>
      <c r="C67" s="69"/>
      <c r="D67" s="69"/>
      <c r="E67" s="69"/>
      <c r="F67" s="69"/>
      <c r="G67" s="69"/>
      <c r="H67" s="69"/>
      <c r="I67" s="69"/>
      <c r="J67" s="69"/>
      <c r="K67" s="69"/>
    </row>
    <row r="68" spans="2:11" ht="13">
      <c r="B68" s="69"/>
      <c r="C68" s="69"/>
      <c r="D68" s="69"/>
      <c r="E68" s="69"/>
      <c r="F68" s="69"/>
      <c r="G68" s="69"/>
      <c r="H68" s="69"/>
      <c r="I68" s="69"/>
      <c r="J68" s="69"/>
      <c r="K68" s="69"/>
    </row>
    <row r="69" spans="2:11" ht="13">
      <c r="B69" s="69"/>
      <c r="C69" s="69"/>
      <c r="D69" s="69"/>
      <c r="E69" s="69"/>
      <c r="F69" s="69"/>
      <c r="G69" s="69"/>
      <c r="H69" s="69"/>
      <c r="I69" s="69"/>
      <c r="J69" s="69"/>
      <c r="K69" s="69"/>
    </row>
    <row r="70" spans="2:11" ht="13">
      <c r="B70" s="69"/>
      <c r="C70" s="69"/>
      <c r="D70" s="69"/>
      <c r="E70" s="69"/>
      <c r="F70" s="69"/>
      <c r="G70" s="69"/>
      <c r="H70" s="69"/>
      <c r="I70" s="69"/>
      <c r="J70" s="69"/>
      <c r="K70" s="69"/>
    </row>
    <row r="71" spans="2:11" ht="13">
      <c r="B71" s="69"/>
      <c r="C71" s="69"/>
      <c r="D71" s="69"/>
      <c r="E71" s="69"/>
      <c r="F71" s="69"/>
      <c r="G71" s="69"/>
      <c r="H71" s="69"/>
      <c r="I71" s="69"/>
      <c r="J71" s="69"/>
      <c r="K71" s="69"/>
    </row>
  </sheetData>
  <sheetProtection algorithmName="SHA-512" hashValue="DUI/0l2ul6CpT0ZosF9NPHD+conLz8GTaSXZlGEbhVHWaZn6tp2H95ZiXgXAfaYvzarmtxeWzf8OI4/6cdOXBA==" saltValue="CpMPR4ixsNXgH89wwF9BKQ==" spinCount="100000" sheet="1" objects="1" scenarios="1"/>
  <mergeCells count="20">
    <mergeCell ref="M2:N2"/>
    <mergeCell ref="C3:C4"/>
    <mergeCell ref="D3:E4"/>
    <mergeCell ref="F3:F4"/>
    <mergeCell ref="G3:J4"/>
    <mergeCell ref="K3:N4"/>
    <mergeCell ref="A1:A2"/>
    <mergeCell ref="B1:F2"/>
    <mergeCell ref="G1:J2"/>
    <mergeCell ref="K1:L1"/>
    <mergeCell ref="K2:L2"/>
    <mergeCell ref="D5:N5"/>
    <mergeCell ref="G22:K24"/>
    <mergeCell ref="E11:F11"/>
    <mergeCell ref="D8:M9"/>
    <mergeCell ref="A6:C7"/>
    <mergeCell ref="A8:C9"/>
    <mergeCell ref="D6:M7"/>
    <mergeCell ref="G16:L20"/>
    <mergeCell ref="A5:C5"/>
  </mergeCells>
  <phoneticPr fontId="0" type="noConversion"/>
  <conditionalFormatting sqref="C41">
    <cfRule type="cellIs" dxfId="63" priority="40" operator="greaterThan">
      <formula>$C$39</formula>
    </cfRule>
  </conditionalFormatting>
  <conditionalFormatting sqref="C42">
    <cfRule type="cellIs" dxfId="62" priority="39" operator="greaterThan">
      <formula>$C$40</formula>
    </cfRule>
  </conditionalFormatting>
  <conditionalFormatting sqref="D41">
    <cfRule type="cellIs" dxfId="61" priority="38" operator="greaterThan">
      <formula>$D$39</formula>
    </cfRule>
  </conditionalFormatting>
  <conditionalFormatting sqref="D42">
    <cfRule type="cellIs" dxfId="60" priority="37" operator="greaterThan">
      <formula>$D$40</formula>
    </cfRule>
  </conditionalFormatting>
  <conditionalFormatting sqref="E41">
    <cfRule type="cellIs" dxfId="59" priority="36" operator="greaterThan">
      <formula>$E$39</formula>
    </cfRule>
  </conditionalFormatting>
  <conditionalFormatting sqref="E42">
    <cfRule type="cellIs" dxfId="58" priority="35" operator="greaterThan">
      <formula>$E$40</formula>
    </cfRule>
  </conditionalFormatting>
  <conditionalFormatting sqref="F41">
    <cfRule type="cellIs" dxfId="57" priority="34" operator="greaterThan">
      <formula>$F$39</formula>
    </cfRule>
  </conditionalFormatting>
  <conditionalFormatting sqref="G41">
    <cfRule type="cellIs" dxfId="56" priority="33" operator="greaterThan">
      <formula>$G$39</formula>
    </cfRule>
  </conditionalFormatting>
  <conditionalFormatting sqref="H41">
    <cfRule type="cellIs" dxfId="55" priority="32" operator="greaterThan">
      <formula>$H$39</formula>
    </cfRule>
  </conditionalFormatting>
  <conditionalFormatting sqref="I41">
    <cfRule type="cellIs" dxfId="54" priority="31" operator="greaterThan">
      <formula>$I$39</formula>
    </cfRule>
  </conditionalFormatting>
  <conditionalFormatting sqref="J41">
    <cfRule type="cellIs" dxfId="53" priority="30" operator="greaterThan">
      <formula>$J$39</formula>
    </cfRule>
  </conditionalFormatting>
  <conditionalFormatting sqref="F42">
    <cfRule type="cellIs" dxfId="52" priority="29" operator="greaterThan">
      <formula>$F$40</formula>
    </cfRule>
  </conditionalFormatting>
  <conditionalFormatting sqref="G42">
    <cfRule type="cellIs" dxfId="51" priority="28" operator="greaterThan">
      <formula>$G$40</formula>
    </cfRule>
  </conditionalFormatting>
  <conditionalFormatting sqref="H42">
    <cfRule type="cellIs" dxfId="50" priority="27" operator="greaterThan">
      <formula>$H$40</formula>
    </cfRule>
  </conditionalFormatting>
  <conditionalFormatting sqref="I42">
    <cfRule type="cellIs" dxfId="49" priority="26" operator="greaterThan">
      <formula>$I$40</formula>
    </cfRule>
  </conditionalFormatting>
  <conditionalFormatting sqref="J42">
    <cfRule type="cellIs" dxfId="48" priority="25" operator="greaterThan">
      <formula>$J$40</formula>
    </cfRule>
  </conditionalFormatting>
  <conditionalFormatting sqref="K41">
    <cfRule type="cellIs" dxfId="47" priority="24" operator="greaterThan">
      <formula>$K$39</formula>
    </cfRule>
  </conditionalFormatting>
  <conditionalFormatting sqref="K42">
    <cfRule type="cellIs" dxfId="46" priority="23" operator="greaterThan">
      <formula>$K$40</formula>
    </cfRule>
  </conditionalFormatting>
  <conditionalFormatting sqref="C43">
    <cfRule type="cellIs" dxfId="45" priority="22" operator="greaterThan">
      <formula>$C$39</formula>
    </cfRule>
  </conditionalFormatting>
  <conditionalFormatting sqref="D43">
    <cfRule type="cellIs" dxfId="44" priority="21" operator="greaterThan">
      <formula>$D$39</formula>
    </cfRule>
  </conditionalFormatting>
  <conditionalFormatting sqref="E43">
    <cfRule type="cellIs" dxfId="43" priority="20" operator="greaterThan">
      <formula>$E$39</formula>
    </cfRule>
  </conditionalFormatting>
  <conditionalFormatting sqref="F43">
    <cfRule type="cellIs" dxfId="42" priority="19" operator="greaterThan">
      <formula>$F$39</formula>
    </cfRule>
  </conditionalFormatting>
  <conditionalFormatting sqref="G43">
    <cfRule type="cellIs" dxfId="41" priority="18" operator="greaterThan">
      <formula>$G$39</formula>
    </cfRule>
  </conditionalFormatting>
  <conditionalFormatting sqref="H43">
    <cfRule type="cellIs" dxfId="40" priority="17" operator="greaterThan">
      <formula>$H$39</formula>
    </cfRule>
  </conditionalFormatting>
  <conditionalFormatting sqref="I43">
    <cfRule type="cellIs" dxfId="39" priority="16" operator="greaterThan">
      <formula>$I$39</formula>
    </cfRule>
  </conditionalFormatting>
  <conditionalFormatting sqref="J43">
    <cfRule type="cellIs" dxfId="38" priority="15" operator="greaterThan">
      <formula>$J$39</formula>
    </cfRule>
  </conditionalFormatting>
  <conditionalFormatting sqref="K43">
    <cfRule type="cellIs" dxfId="37" priority="14" operator="greaterThan">
      <formula>$J$39</formula>
    </cfRule>
  </conditionalFormatting>
  <conditionalFormatting sqref="C44:C47">
    <cfRule type="cellIs" dxfId="36" priority="13" operator="greaterThan">
      <formula>$C$39</formula>
    </cfRule>
  </conditionalFormatting>
  <conditionalFormatting sqref="D44:D47">
    <cfRule type="cellIs" dxfId="35" priority="12" operator="greaterThan">
      <formula>$D$39</formula>
    </cfRule>
  </conditionalFormatting>
  <conditionalFormatting sqref="E44:E47">
    <cfRule type="cellIs" dxfId="34" priority="11" operator="greaterThan">
      <formula>$E$39</formula>
    </cfRule>
  </conditionalFormatting>
  <conditionalFormatting sqref="F44:F47">
    <cfRule type="cellIs" dxfId="33" priority="10" operator="greaterThan">
      <formula>$F$39</formula>
    </cfRule>
  </conditionalFormatting>
  <conditionalFormatting sqref="G44:G47">
    <cfRule type="cellIs" dxfId="32" priority="9" operator="greaterThan">
      <formula>$G$39</formula>
    </cfRule>
  </conditionalFormatting>
  <conditionalFormatting sqref="H44:H47">
    <cfRule type="cellIs" dxfId="31" priority="8" operator="greaterThan">
      <formula>$H$39</formula>
    </cfRule>
  </conditionalFormatting>
  <conditionalFormatting sqref="I44:I47">
    <cfRule type="cellIs" dxfId="30" priority="7" operator="greaterThan">
      <formula>$I$39</formula>
    </cfRule>
  </conditionalFormatting>
  <conditionalFormatting sqref="J44:J47">
    <cfRule type="cellIs" dxfId="29" priority="6" operator="greaterThan">
      <formula>$J$39</formula>
    </cfRule>
  </conditionalFormatting>
  <conditionalFormatting sqref="K44:K47">
    <cfRule type="cellIs" dxfId="28" priority="5" operator="greaterThan">
      <formula>$J$39</formula>
    </cfRule>
  </conditionalFormatting>
  <conditionalFormatting sqref="L41">
    <cfRule type="cellIs" dxfId="27" priority="4" operator="greaterThan">
      <formula>$L$39</formula>
    </cfRule>
  </conditionalFormatting>
  <conditionalFormatting sqref="L42">
    <cfRule type="cellIs" dxfId="26" priority="3" operator="greaterThan">
      <formula>$L$40</formula>
    </cfRule>
  </conditionalFormatting>
  <conditionalFormatting sqref="L43">
    <cfRule type="cellIs" dxfId="25" priority="2" operator="greaterThan">
      <formula>$J$39</formula>
    </cfRule>
  </conditionalFormatting>
  <conditionalFormatting sqref="L44:L47">
    <cfRule type="cellIs" dxfId="24" priority="1" operator="greaterThan">
      <formula>$J$39</formula>
    </cfRule>
  </conditionalFormatting>
  <pageMargins left="0.51181102362204722" right="0.51181102362204722" top="0.74803149606299213" bottom="0.74803149606299213" header="0.51181102362204722" footer="0.51181102362204722"/>
  <pageSetup paperSize="9" scale="54"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2">
    <tabColor indexed="10"/>
  </sheetPr>
  <dimension ref="A1:N70"/>
  <sheetViews>
    <sheetView showGridLines="0" workbookViewId="0">
      <selection activeCell="A15" sqref="A15"/>
    </sheetView>
  </sheetViews>
  <sheetFormatPr defaultColWidth="9.08984375" defaultRowHeight="13"/>
  <cols>
    <col min="1" max="1" width="89.08984375" style="283" customWidth="1"/>
    <col min="2" max="16384" width="9.08984375" style="283"/>
  </cols>
  <sheetData>
    <row r="1" spans="1:14" s="289" customFormat="1" ht="14">
      <c r="A1" s="497" t="s">
        <v>451</v>
      </c>
      <c r="B1" s="496"/>
      <c r="C1" s="496"/>
      <c r="D1" s="496"/>
      <c r="E1" s="496"/>
      <c r="F1" s="496"/>
      <c r="G1" s="496"/>
      <c r="H1" s="496"/>
      <c r="I1" s="496"/>
      <c r="J1" s="496"/>
      <c r="K1" s="496"/>
      <c r="L1" s="496"/>
      <c r="M1" s="496"/>
      <c r="N1" s="496"/>
    </row>
    <row r="11" spans="1:14">
      <c r="D11" s="469"/>
      <c r="G11" s="469"/>
      <c r="J11" s="469"/>
    </row>
    <row r="12" spans="1:14">
      <c r="D12" s="469"/>
      <c r="G12" s="469"/>
      <c r="J12" s="469"/>
    </row>
    <row r="13" spans="1:14">
      <c r="D13" s="469"/>
      <c r="G13" s="469"/>
      <c r="J13" s="469"/>
    </row>
    <row r="14" spans="1:14">
      <c r="D14" s="469"/>
      <c r="G14" s="469"/>
      <c r="J14" s="469"/>
    </row>
    <row r="15" spans="1:14">
      <c r="D15" s="469"/>
      <c r="G15" s="469"/>
      <c r="J15" s="469"/>
    </row>
    <row r="16" spans="1:14">
      <c r="D16" s="469"/>
      <c r="G16" s="469"/>
      <c r="J16" s="469"/>
    </row>
    <row r="17" spans="1:10">
      <c r="D17" s="469"/>
      <c r="G17" s="469"/>
      <c r="J17" s="469"/>
    </row>
    <row r="18" spans="1:10">
      <c r="D18" s="469"/>
      <c r="G18" s="469"/>
      <c r="J18" s="469"/>
    </row>
    <row r="19" spans="1:10">
      <c r="D19" s="469"/>
      <c r="G19" s="469"/>
      <c r="J19" s="469"/>
    </row>
    <row r="20" spans="1:10">
      <c r="D20" s="469"/>
      <c r="G20" s="469"/>
      <c r="J20" s="469"/>
    </row>
    <row r="21" spans="1:10">
      <c r="D21" s="469"/>
      <c r="G21" s="469"/>
      <c r="J21" s="469"/>
    </row>
    <row r="22" spans="1:10">
      <c r="D22" s="469"/>
      <c r="G22" s="469"/>
      <c r="J22" s="469"/>
    </row>
    <row r="23" spans="1:10">
      <c r="D23" s="469"/>
      <c r="G23" s="469"/>
      <c r="J23" s="469"/>
    </row>
    <row r="24" spans="1:10">
      <c r="A24" s="283" t="s">
        <v>1052</v>
      </c>
      <c r="D24" s="469"/>
      <c r="G24" s="469"/>
      <c r="J24" s="469"/>
    </row>
    <row r="38" spans="1:14" ht="14">
      <c r="A38" s="497" t="s">
        <v>452</v>
      </c>
      <c r="B38" s="496"/>
      <c r="C38" s="496"/>
      <c r="D38" s="496"/>
      <c r="E38" s="496"/>
      <c r="F38" s="496"/>
      <c r="G38" s="496"/>
      <c r="H38" s="496"/>
      <c r="I38" s="496"/>
      <c r="J38" s="496"/>
      <c r="K38" s="496"/>
      <c r="L38" s="496"/>
      <c r="M38" s="496"/>
      <c r="N38" s="496"/>
    </row>
    <row r="57" spans="1:1">
      <c r="A57" s="283" t="s">
        <v>1053</v>
      </c>
    </row>
    <row r="70" spans="1:1">
      <c r="A70" s="495"/>
    </row>
  </sheetData>
  <sheetProtection algorithmName="SHA-512" hashValue="UcRzl5PxznYQ0AcpCUTwT88iKtrcKft6vFQ7eKo/Q0veauoVi3yt0dEcEOatlDWMctQSyM+ZjdAjVbIq1WctBQ==" saltValue="VbF5kL/quvasII+3VjDKy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4">
    <pageSetUpPr fitToPage="1"/>
  </sheetPr>
  <dimension ref="A1:BS139"/>
  <sheetViews>
    <sheetView showGridLines="0" topLeftCell="A7" zoomScaleNormal="100" zoomScaleSheetLayoutView="85" workbookViewId="0">
      <selection activeCell="M25" sqref="M25"/>
    </sheetView>
  </sheetViews>
  <sheetFormatPr defaultColWidth="7.90625" defaultRowHeight="12.5" outlineLevelCol="1"/>
  <cols>
    <col min="1" max="10" width="2.6328125" style="304" customWidth="1" collapsed="1"/>
    <col min="11" max="11" width="9.08984375" style="304" customWidth="1" collapsed="1"/>
    <col min="12" max="12" width="6.36328125" style="304" customWidth="1" collapsed="1"/>
    <col min="13" max="13" width="7.36328125" style="304" customWidth="1" collapsed="1"/>
    <col min="14" max="14" width="7.453125" style="304" customWidth="1" collapsed="1"/>
    <col min="15" max="15" width="7.36328125" style="304" customWidth="1"/>
    <col min="16" max="16" width="8.08984375" style="304" customWidth="1" collapsed="1"/>
    <col min="17" max="17" width="8.453125" style="304" customWidth="1" collapsed="1"/>
    <col min="18" max="18" width="8.54296875" style="304" customWidth="1" collapsed="1"/>
    <col min="19" max="19" width="8.54296875" style="523" customWidth="1"/>
    <col min="20" max="21" width="8.6328125" style="523" customWidth="1"/>
    <col min="22" max="22" width="2.08984375" style="510" customWidth="1" collapsed="1"/>
    <col min="23" max="23" width="16.453125" style="305" customWidth="1" collapsed="1"/>
    <col min="24" max="28" width="7.453125" style="304" customWidth="1" collapsed="1"/>
    <col min="29" max="31" width="7.453125" style="304" customWidth="1"/>
    <col min="32" max="32" width="7.453125" style="304" customWidth="1" collapsed="1"/>
    <col min="33" max="33" width="7.54296875" style="305" customWidth="1" collapsed="1"/>
    <col min="34" max="34" width="5.90625" style="305" hidden="1" customWidth="1" outlineLevel="1" collapsed="1"/>
    <col min="35" max="35" width="7" style="305" hidden="1" customWidth="1" outlineLevel="1" collapsed="1"/>
    <col min="36" max="36" width="20.08984375" style="305" hidden="1" customWidth="1" outlineLevel="1" collapsed="1"/>
    <col min="37" max="37" width="20" style="305" hidden="1" customWidth="1" outlineLevel="1" collapsed="1"/>
    <col min="38" max="38" width="4.36328125" style="305" hidden="1" customWidth="1" outlineLevel="1" collapsed="1"/>
    <col min="39" max="39" width="6.453125" style="305" hidden="1" customWidth="1" outlineLevel="1" collapsed="1"/>
    <col min="40" max="40" width="8.08984375" style="305" hidden="1" customWidth="1" outlineLevel="1"/>
    <col min="41" max="41" width="8.453125" style="305" hidden="1" customWidth="1" outlineLevel="1"/>
    <col min="42" max="42" width="3" style="305" hidden="1" customWidth="1" outlineLevel="1"/>
    <col min="43" max="43" width="2" style="305" hidden="1" customWidth="1" outlineLevel="1"/>
    <col min="44" max="44" width="4.36328125" style="305" hidden="1" customWidth="1" outlineLevel="1"/>
    <col min="45" max="45" width="6.453125" style="305" hidden="1" customWidth="1" outlineLevel="1"/>
    <col min="46" max="46" width="8.36328125" style="305" hidden="1" customWidth="1" outlineLevel="1"/>
    <col min="47" max="47" width="8.453125" style="305" hidden="1" customWidth="1" outlineLevel="1"/>
    <col min="48" max="48" width="5" style="305" hidden="1" customWidth="1" outlineLevel="1"/>
    <col min="49" max="49" width="6.453125" style="305" hidden="1" customWidth="1" outlineLevel="1"/>
    <col min="50" max="50" width="3.453125" style="305" hidden="1" customWidth="1" outlineLevel="1"/>
    <col min="51" max="51" width="6.453125" style="305" hidden="1" customWidth="1" outlineLevel="1"/>
    <col min="52" max="52" width="4.08984375" style="305" hidden="1" customWidth="1" outlineLevel="1" collapsed="1"/>
    <col min="53" max="53" width="6.453125" style="305" hidden="1" customWidth="1" outlineLevel="1"/>
    <col min="54" max="54" width="5.36328125" style="305" hidden="1" customWidth="1" outlineLevel="1" collapsed="1"/>
    <col min="55" max="55" width="6.453125" style="305" hidden="1" customWidth="1" outlineLevel="1"/>
    <col min="56" max="56" width="7.90625" style="305" collapsed="1"/>
    <col min="57" max="66" width="7.90625" style="305"/>
    <col min="67" max="67" width="7.90625" style="305" collapsed="1"/>
    <col min="68" max="71" width="7.90625" style="305"/>
    <col min="72" max="16384" width="7.90625" style="305" collapsed="1"/>
  </cols>
  <sheetData>
    <row r="1" spans="1:55" ht="24" customHeight="1">
      <c r="A1" s="298"/>
      <c r="B1" s="299"/>
      <c r="C1" s="299"/>
      <c r="D1" s="299"/>
      <c r="E1" s="300"/>
      <c r="F1" s="299"/>
      <c r="G1" s="299"/>
      <c r="H1" s="301"/>
      <c r="I1" s="299"/>
      <c r="J1" s="299"/>
      <c r="K1" s="299"/>
      <c r="L1" s="299"/>
      <c r="M1" s="299"/>
      <c r="N1" s="299"/>
      <c r="O1" s="299"/>
      <c r="P1" s="302" t="s">
        <v>350</v>
      </c>
      <c r="Q1" s="819" t="s">
        <v>351</v>
      </c>
      <c r="R1" s="819"/>
      <c r="S1" s="819"/>
      <c r="T1" s="819"/>
      <c r="U1" s="820"/>
      <c r="V1" s="303"/>
      <c r="W1" s="263" t="s">
        <v>356</v>
      </c>
      <c r="AI1" s="305">
        <f>VLOOKUP($W$4,$AH$8:$AK$22,2,FALSE)</f>
        <v>90</v>
      </c>
      <c r="AJ1" s="305">
        <f>VLOOKUP($W$4,$AH$8:$AK$22,3,FALSE)</f>
        <v>53300</v>
      </c>
      <c r="AK1" s="305">
        <f>VLOOKUP($W$4,$AH$8:$AK$22,4,FALSE)</f>
        <v>49000</v>
      </c>
      <c r="AL1" s="306"/>
      <c r="AN1" s="306"/>
      <c r="AO1" s="306"/>
      <c r="AP1" s="306"/>
      <c r="AQ1" s="306"/>
      <c r="AR1" s="306"/>
      <c r="AS1" s="306"/>
    </row>
    <row r="2" spans="1:55" ht="15.75" customHeight="1">
      <c r="A2" s="307"/>
      <c r="E2" s="308"/>
      <c r="H2" s="308"/>
      <c r="P2" s="309" t="s">
        <v>353</v>
      </c>
      <c r="Q2" s="821" t="s">
        <v>354</v>
      </c>
      <c r="R2" s="821"/>
      <c r="S2" s="821"/>
      <c r="T2" s="821"/>
      <c r="U2" s="822"/>
      <c r="V2" s="303"/>
      <c r="W2" s="310" t="s">
        <v>1051</v>
      </c>
      <c r="X2" s="313" t="str">
        <f>IF(W2="From Preselector","Values taken from the Output sheet",IF($W$2 ="Light RCS","Values taken from the Light RCS sheet",IF($W$2="Manual","fill manual data in light grey cells","")))</f>
        <v>Values taken from the Output sheet</v>
      </c>
    </row>
    <row r="3" spans="1:55" ht="12" customHeight="1">
      <c r="A3" s="311"/>
      <c r="P3" s="309" t="s">
        <v>355</v>
      </c>
      <c r="Q3" s="821" t="s">
        <v>365</v>
      </c>
      <c r="R3" s="821"/>
      <c r="S3" s="821"/>
      <c r="T3" s="821"/>
      <c r="U3" s="822"/>
      <c r="V3" s="303"/>
      <c r="W3" s="263" t="s">
        <v>352</v>
      </c>
    </row>
    <row r="4" spans="1:55" ht="12" customHeight="1">
      <c r="A4" s="311"/>
      <c r="C4" s="304" t="s">
        <v>357</v>
      </c>
      <c r="M4" s="312"/>
      <c r="P4" s="309" t="s">
        <v>358</v>
      </c>
      <c r="Q4" s="823">
        <f ca="1">TODAY()</f>
        <v>44620</v>
      </c>
      <c r="R4" s="823"/>
      <c r="S4" s="823"/>
      <c r="T4" s="823"/>
      <c r="U4" s="824"/>
      <c r="V4" s="303"/>
      <c r="W4" s="310" t="s">
        <v>237</v>
      </c>
      <c r="Y4" s="314"/>
      <c r="Z4" s="314"/>
      <c r="AA4" s="314"/>
      <c r="AB4" s="314"/>
      <c r="AC4" s="314"/>
      <c r="AD4" s="314"/>
      <c r="AE4" s="314"/>
    </row>
    <row r="5" spans="1:55" ht="3" customHeight="1">
      <c r="A5" s="311"/>
      <c r="S5" s="273"/>
      <c r="T5" s="273"/>
      <c r="U5" s="511"/>
      <c r="V5" s="303"/>
      <c r="W5" s="304"/>
      <c r="AH5" s="305" t="s">
        <v>237</v>
      </c>
      <c r="AI5" s="305">
        <v>90</v>
      </c>
    </row>
    <row r="6" spans="1:55" ht="12.9" customHeight="1">
      <c r="A6" s="315">
        <v>0</v>
      </c>
      <c r="B6" s="316" t="s">
        <v>359</v>
      </c>
      <c r="C6" s="317"/>
      <c r="D6" s="317"/>
      <c r="E6" s="317"/>
      <c r="F6" s="317" t="s">
        <v>360</v>
      </c>
      <c r="G6" s="317"/>
      <c r="H6" s="317"/>
      <c r="I6" s="317"/>
      <c r="J6" s="317"/>
      <c r="K6" s="317"/>
      <c r="L6" s="317"/>
      <c r="M6" s="317"/>
      <c r="N6" s="317"/>
      <c r="O6" s="317"/>
      <c r="P6" s="317"/>
      <c r="Q6" s="317"/>
      <c r="R6" s="317"/>
      <c r="S6" s="279"/>
      <c r="T6" s="279"/>
      <c r="U6" s="280"/>
      <c r="V6" s="303"/>
      <c r="W6" s="263" t="s">
        <v>361</v>
      </c>
      <c r="AH6" s="306"/>
      <c r="AI6" s="306"/>
      <c r="AJ6" s="832" t="s">
        <v>362</v>
      </c>
      <c r="AK6" s="832"/>
      <c r="AL6" s="833" t="s">
        <v>363</v>
      </c>
      <c r="AM6" s="835"/>
      <c r="AN6" s="835"/>
      <c r="AO6" s="835"/>
      <c r="AP6" s="835"/>
      <c r="AQ6" s="835"/>
      <c r="AR6" s="835"/>
      <c r="AS6" s="835"/>
      <c r="AT6" s="835"/>
      <c r="AU6" s="835"/>
      <c r="AV6" s="835"/>
      <c r="AW6" s="835"/>
      <c r="AX6" s="835"/>
      <c r="AY6" s="835"/>
      <c r="AZ6" s="835"/>
      <c r="BA6" s="835"/>
      <c r="BB6" s="835"/>
      <c r="BC6" s="834"/>
    </row>
    <row r="7" spans="1:55">
      <c r="A7" s="318">
        <v>1</v>
      </c>
      <c r="B7" s="319"/>
      <c r="C7" s="309" t="s">
        <v>364</v>
      </c>
      <c r="D7" s="309"/>
      <c r="E7" s="309"/>
      <c r="F7" s="309"/>
      <c r="G7" s="825" t="s">
        <v>365</v>
      </c>
      <c r="H7" s="825"/>
      <c r="I7" s="825"/>
      <c r="J7" s="825"/>
      <c r="K7" s="825"/>
      <c r="L7" s="825"/>
      <c r="M7" s="825"/>
      <c r="N7" s="309" t="s">
        <v>366</v>
      </c>
      <c r="O7" s="825" t="s">
        <v>365</v>
      </c>
      <c r="P7" s="825"/>
      <c r="Q7" s="825"/>
      <c r="R7" s="825"/>
      <c r="S7" s="825"/>
      <c r="T7" s="825"/>
      <c r="U7" s="826"/>
      <c r="V7" s="303"/>
      <c r="W7" s="310" t="s">
        <v>631</v>
      </c>
      <c r="X7" s="320"/>
      <c r="Z7" s="320"/>
      <c r="AA7" s="320"/>
      <c r="AB7" s="320"/>
      <c r="AC7" s="320"/>
      <c r="AD7" s="320"/>
      <c r="AE7" s="320"/>
      <c r="AF7" s="320"/>
      <c r="AH7" s="321" t="s">
        <v>367</v>
      </c>
      <c r="AI7" s="321" t="s">
        <v>368</v>
      </c>
      <c r="AJ7" s="321" t="s">
        <v>369</v>
      </c>
      <c r="AK7" s="321" t="s">
        <v>370</v>
      </c>
      <c r="AL7" s="832" t="s">
        <v>371</v>
      </c>
      <c r="AM7" s="832"/>
      <c r="AN7" s="833" t="s">
        <v>372</v>
      </c>
      <c r="AO7" s="834"/>
      <c r="AP7" s="832" t="s">
        <v>373</v>
      </c>
      <c r="AQ7" s="832"/>
      <c r="AR7" s="832" t="s">
        <v>374</v>
      </c>
      <c r="AS7" s="832"/>
      <c r="AT7" s="832" t="s">
        <v>375</v>
      </c>
      <c r="AU7" s="832"/>
      <c r="AV7" s="833" t="s">
        <v>376</v>
      </c>
      <c r="AW7" s="834"/>
      <c r="AX7" s="833" t="s">
        <v>377</v>
      </c>
      <c r="AY7" s="834"/>
      <c r="AZ7" s="833" t="s">
        <v>378</v>
      </c>
      <c r="BA7" s="834"/>
      <c r="BB7" s="833" t="s">
        <v>116</v>
      </c>
      <c r="BC7" s="834"/>
    </row>
    <row r="8" spans="1:55">
      <c r="A8" s="318">
        <f>A7+1</f>
        <v>2</v>
      </c>
      <c r="B8" s="319"/>
      <c r="C8" s="309" t="s">
        <v>379</v>
      </c>
      <c r="D8" s="309"/>
      <c r="E8" s="309"/>
      <c r="F8" s="322" t="s">
        <v>292</v>
      </c>
      <c r="G8" s="831" t="s">
        <v>365</v>
      </c>
      <c r="H8" s="831"/>
      <c r="I8" s="831"/>
      <c r="J8" s="831"/>
      <c r="K8" s="831"/>
      <c r="L8" s="831"/>
      <c r="M8" s="831"/>
      <c r="N8" s="322"/>
      <c r="O8" s="322"/>
      <c r="P8" s="322"/>
      <c r="Q8" s="322"/>
      <c r="R8" s="322"/>
      <c r="S8" s="274"/>
      <c r="T8" s="274"/>
      <c r="U8" s="512"/>
      <c r="V8" s="303"/>
      <c r="X8" s="320"/>
      <c r="Z8" s="320"/>
      <c r="AA8" s="320"/>
      <c r="AB8" s="320"/>
      <c r="AC8" s="320"/>
      <c r="AD8" s="320"/>
      <c r="AE8" s="320"/>
      <c r="AF8" s="320"/>
      <c r="AH8" s="323" t="s">
        <v>234</v>
      </c>
      <c r="AI8" s="323">
        <v>48</v>
      </c>
      <c r="AJ8" s="323">
        <v>14470</v>
      </c>
      <c r="AK8" s="323">
        <v>14470</v>
      </c>
      <c r="AL8" s="324" t="s">
        <v>380</v>
      </c>
      <c r="AM8" s="325">
        <v>1</v>
      </c>
      <c r="AN8" s="324" t="s">
        <v>138</v>
      </c>
      <c r="AO8" s="326">
        <v>1</v>
      </c>
      <c r="AP8" s="324" t="s">
        <v>381</v>
      </c>
      <c r="AQ8" s="326">
        <v>1</v>
      </c>
      <c r="AR8" s="324" t="s">
        <v>382</v>
      </c>
      <c r="AS8" s="326">
        <v>1</v>
      </c>
      <c r="AT8" s="324" t="s">
        <v>57</v>
      </c>
      <c r="AU8" s="326">
        <v>1</v>
      </c>
      <c r="AV8" s="324" t="s">
        <v>383</v>
      </c>
      <c r="AW8" s="326">
        <v>1</v>
      </c>
      <c r="AX8" s="324" t="s">
        <v>384</v>
      </c>
      <c r="AY8" s="326">
        <v>1</v>
      </c>
      <c r="AZ8" s="324" t="s">
        <v>119</v>
      </c>
      <c r="BA8" s="326">
        <v>1</v>
      </c>
      <c r="BB8" s="324" t="s">
        <v>110</v>
      </c>
      <c r="BC8" s="326">
        <v>1</v>
      </c>
    </row>
    <row r="9" spans="1:55">
      <c r="A9" s="318">
        <f>A8+1</f>
        <v>3</v>
      </c>
      <c r="B9" s="319"/>
      <c r="C9" s="309" t="s">
        <v>385</v>
      </c>
      <c r="D9" s="309"/>
      <c r="E9" s="309"/>
      <c r="F9" s="322"/>
      <c r="G9" s="830" t="str">
        <f>IF($W$2="From Preselector",Output!B13,IF($W$2="Light RCS",'Light RCS'!B13,"xxx"))</f>
        <v>2HE/2</v>
      </c>
      <c r="H9" s="830"/>
      <c r="I9" s="830"/>
      <c r="J9" s="830"/>
      <c r="K9" s="830"/>
      <c r="L9" s="327" t="s">
        <v>610</v>
      </c>
      <c r="M9" s="328" t="s">
        <v>611</v>
      </c>
      <c r="N9" s="309" t="s">
        <v>386</v>
      </c>
      <c r="O9" s="322" t="str">
        <f>Q3</f>
        <v>xxx</v>
      </c>
      <c r="P9" s="322"/>
      <c r="Q9" s="322"/>
      <c r="R9" s="322"/>
      <c r="S9" s="322"/>
      <c r="T9" s="322"/>
      <c r="U9" s="513"/>
      <c r="V9" s="303"/>
      <c r="X9" s="320"/>
      <c r="Z9" s="320"/>
      <c r="AA9" s="320"/>
      <c r="AB9" s="320"/>
      <c r="AC9" s="320"/>
      <c r="AD9" s="320"/>
      <c r="AE9" s="320"/>
      <c r="AF9" s="320"/>
      <c r="AH9" s="323" t="s">
        <v>235</v>
      </c>
      <c r="AI9" s="323">
        <v>57</v>
      </c>
      <c r="AJ9" s="323">
        <v>23640</v>
      </c>
      <c r="AK9" s="323">
        <v>23640</v>
      </c>
      <c r="AL9" s="324" t="s">
        <v>387</v>
      </c>
      <c r="AM9" s="329">
        <v>1.01971621297793</v>
      </c>
      <c r="AN9" s="324" t="s">
        <v>388</v>
      </c>
      <c r="AO9" s="326">
        <v>1</v>
      </c>
      <c r="AP9" s="324" t="s">
        <v>389</v>
      </c>
      <c r="AQ9" s="326"/>
      <c r="AR9" s="324" t="s">
        <v>390</v>
      </c>
      <c r="AS9" s="329">
        <v>2.2046199999999998</v>
      </c>
      <c r="AT9" s="324" t="s">
        <v>53</v>
      </c>
      <c r="AU9" s="330">
        <f>1/1117</f>
        <v>8.9525514771709937E-4</v>
      </c>
      <c r="AV9" s="324" t="s">
        <v>391</v>
      </c>
      <c r="AW9" s="329">
        <v>0.58857780000000004</v>
      </c>
      <c r="AX9" s="324" t="s">
        <v>392</v>
      </c>
      <c r="AY9" s="329">
        <v>1.3410219999999999</v>
      </c>
      <c r="AZ9" s="324" t="s">
        <v>393</v>
      </c>
      <c r="BA9" s="329">
        <v>3.9369960000000002E-2</v>
      </c>
      <c r="BB9" s="324" t="s">
        <v>118</v>
      </c>
      <c r="BC9" s="331">
        <v>196.85040000000001</v>
      </c>
    </row>
    <row r="10" spans="1:55">
      <c r="A10" s="318">
        <f>A9+1</f>
        <v>4</v>
      </c>
      <c r="B10" s="319"/>
      <c r="C10" s="309" t="s">
        <v>612</v>
      </c>
      <c r="D10" s="309"/>
      <c r="E10" s="309"/>
      <c r="F10" s="309"/>
      <c r="G10" s="309"/>
      <c r="H10" s="332"/>
      <c r="I10" s="332"/>
      <c r="J10" s="524" t="s">
        <v>613</v>
      </c>
      <c r="K10" s="333" t="s">
        <v>65</v>
      </c>
      <c r="L10" s="524" t="s">
        <v>325</v>
      </c>
      <c r="M10" s="322" t="s">
        <v>67</v>
      </c>
      <c r="N10" s="334"/>
      <c r="O10" s="334"/>
      <c r="P10" s="334"/>
      <c r="Q10" s="332"/>
      <c r="R10" s="281"/>
      <c r="S10" s="281"/>
      <c r="T10" s="281"/>
      <c r="U10" s="282"/>
      <c r="V10" s="303"/>
      <c r="W10" s="492"/>
      <c r="X10" s="320"/>
      <c r="Z10" s="320"/>
      <c r="AA10" s="320"/>
      <c r="AB10" s="320"/>
      <c r="AC10" s="320"/>
      <c r="AD10" s="320"/>
      <c r="AE10" s="320"/>
      <c r="AF10" s="320"/>
      <c r="AH10" s="323" t="s">
        <v>236</v>
      </c>
      <c r="AI10" s="323">
        <v>75</v>
      </c>
      <c r="AJ10" s="323">
        <v>32250</v>
      </c>
      <c r="AK10" s="323">
        <v>30930</v>
      </c>
      <c r="AL10" s="324" t="s">
        <v>394</v>
      </c>
      <c r="AM10" s="335">
        <v>0.01</v>
      </c>
      <c r="AN10" s="324" t="s">
        <v>395</v>
      </c>
      <c r="AO10" s="329">
        <v>1.0197160000000001</v>
      </c>
      <c r="AP10" s="324"/>
      <c r="AQ10" s="326"/>
      <c r="AR10" s="324"/>
      <c r="AS10" s="326"/>
      <c r="AT10" s="324" t="s">
        <v>396</v>
      </c>
      <c r="AU10" s="330">
        <f>1/1.61</f>
        <v>0.6211180124223602</v>
      </c>
      <c r="AV10" s="324"/>
      <c r="AW10" s="326"/>
      <c r="AX10" s="324"/>
      <c r="AY10" s="326"/>
      <c r="AZ10" s="324"/>
      <c r="BA10" s="326"/>
      <c r="BB10" s="324"/>
      <c r="BC10" s="326"/>
    </row>
    <row r="11" spans="1:55" ht="13" thickBot="1">
      <c r="A11" s="315">
        <f>A10+1</f>
        <v>5</v>
      </c>
      <c r="B11" s="316"/>
      <c r="C11" s="336" t="s">
        <v>397</v>
      </c>
      <c r="D11" s="337"/>
      <c r="E11" s="337"/>
      <c r="F11" s="337"/>
      <c r="G11" s="337"/>
      <c r="H11" s="337"/>
      <c r="I11" s="337"/>
      <c r="J11" s="337"/>
      <c r="K11" s="337"/>
      <c r="L11" s="337"/>
      <c r="M11" s="337"/>
      <c r="N11" s="337"/>
      <c r="O11" s="337"/>
      <c r="P11" s="337"/>
      <c r="Q11" s="337"/>
      <c r="R11" s="338"/>
      <c r="S11" s="296"/>
      <c r="T11" s="296"/>
      <c r="U11" s="297"/>
      <c r="V11" s="303"/>
      <c r="X11" s="320"/>
      <c r="Z11" s="320"/>
      <c r="AA11" s="320"/>
      <c r="AB11" s="320"/>
      <c r="AC11" s="320"/>
      <c r="AD11" s="320"/>
      <c r="AE11" s="320"/>
      <c r="AF11" s="320"/>
      <c r="AH11" s="323" t="s">
        <v>237</v>
      </c>
      <c r="AI11" s="323">
        <v>90</v>
      </c>
      <c r="AJ11" s="323">
        <v>53300</v>
      </c>
      <c r="AK11" s="323">
        <v>49000</v>
      </c>
      <c r="AL11" s="324" t="s">
        <v>398</v>
      </c>
      <c r="AM11" s="329">
        <v>2.2480894</v>
      </c>
      <c r="AN11" s="324" t="s">
        <v>399</v>
      </c>
      <c r="AO11" s="329">
        <v>1.0197160000000001</v>
      </c>
      <c r="AP11" s="324"/>
      <c r="AQ11" s="326"/>
      <c r="AR11" s="324"/>
      <c r="AS11" s="326"/>
      <c r="AT11" s="324"/>
      <c r="AU11" s="326"/>
      <c r="AV11" s="324"/>
      <c r="AW11" s="326"/>
      <c r="AX11" s="324"/>
      <c r="AY11" s="326"/>
      <c r="AZ11" s="324"/>
      <c r="BA11" s="326"/>
      <c r="BB11" s="324"/>
      <c r="BC11" s="326"/>
    </row>
    <row r="12" spans="1:55" ht="13.5" thickTop="1" thickBot="1">
      <c r="A12" s="318">
        <f>A11+1</f>
        <v>6</v>
      </c>
      <c r="B12" s="319"/>
      <c r="C12" s="309" t="s">
        <v>400</v>
      </c>
      <c r="D12" s="309"/>
      <c r="E12" s="309"/>
      <c r="F12" s="309"/>
      <c r="G12" s="309"/>
      <c r="H12" s="309"/>
      <c r="I12" s="309"/>
      <c r="J12" s="309"/>
      <c r="K12" s="334"/>
      <c r="L12" s="339"/>
      <c r="M12" s="340">
        <f>IF($W$2="From Preselector",IF(OR(Output!C27=0,Output!C27=""),0,VALUE(LEFT(TRIM(Output!C27),1))),IF($W$2="Light RCS",IF(OR('Light RCS'!C28=0,'Light RCS'!C28=""),0,VALUE(LEFT(TRIM('Light RCS'!C28),1))), X12))</f>
        <v>1</v>
      </c>
      <c r="N12" s="340">
        <f>IF($W$2="From Preselector",IF(OR(Output!D27=0,Output!D27=""),0,VALUE(LEFT(TRIM(Output!D27),1))),IF($W$2="Light RCS",IF(OR('Light RCS'!D28=0,'Light RCS'!D28=""),0,VALUE(LEFT(TRIM('Light RCS'!D28),1))), Y12))</f>
        <v>1</v>
      </c>
      <c r="O12" s="340">
        <f>IF($W$2="From Preselector",IF(OR(Output!E27=0,Output!E27=""),0,VALUE(LEFT(TRIM(Output!E27),1))),IF($W$2="Light RCS",IF(OR('Light RCS'!E28=0,'Light RCS'!E28=""),0,VALUE(LEFT(TRIM('Light RCS'!E28),1))), Z12))</f>
        <v>0</v>
      </c>
      <c r="P12" s="340">
        <f>IF($W$2="From Preselector",IF(OR(Output!F27=0,Output!F27=""),0,VALUE(LEFT(TRIM(Output!F27),1))),IF($W$2="Light RCS",IF(OR('Light RCS'!F28=0,'Light RCS'!F28=""),0,VALUE(LEFT(TRIM('Light RCS'!F28),1))), AA12))</f>
        <v>0</v>
      </c>
      <c r="Q12" s="340">
        <f>IF($W$2="From Preselector",IF(OR(Output!G27=0,Output!G27=""),0,VALUE(LEFT(TRIM(Output!G27),1))),IF($W$2="Light RCS",IF(OR('Light RCS'!G28=0,'Light RCS'!G28=""),0,VALUE(LEFT(TRIM('Light RCS'!G28),1))), AB12))</f>
        <v>0</v>
      </c>
      <c r="R12" s="340">
        <f>IF($W$2="From Preselector",IF(OR(Output!H27=0,Output!H27=""),0,VALUE(LEFT(TRIM(Output!H27),1))),IF($W$2="Light RCS",IF(OR('Light RCS'!H28=0,'Light RCS'!H28=""),0,VALUE(LEFT(TRIM('Light RCS'!H28),1))), AC12))</f>
        <v>0</v>
      </c>
      <c r="S12" s="340">
        <f>IF($W$2="From Preselector",IF(OR(Output!I27=0,Output!I27=""),0,VALUE(LEFT(TRIM(Output!I27),1))),IF($W$2="Light RCS",IF(OR('Light RCS'!I28=0,'Light RCS'!I28=""),0,VALUE(LEFT(TRIM('Light RCS'!I28),1))), AD12))</f>
        <v>0</v>
      </c>
      <c r="T12" s="340">
        <f>IF($W$2="From Preselector",IF(OR(Output!J27=0,Output!J27=""),0,VALUE(LEFT(TRIM(Output!J27),1))),IF($W$2="Light RCS",IF(OR('Light RCS'!J28=0,'Light RCS'!J28=""),0,VALUE(LEFT(TRIM('Light RCS'!J28),1))), AE12))</f>
        <v>0</v>
      </c>
      <c r="U12" s="514">
        <f>IF($W$2="From Preselector",IF(OR(Output!K27=0,Output!K27=""),0,VALUE(LEFT(TRIM(Output!K27),1))),IF($W$2="Light RCS",IF(OR('Light RCS'!K28=0,'Light RCS'!K28=""),0,VALUE(LEFT(TRIM('Light RCS'!K28),1))), AF12))</f>
        <v>0</v>
      </c>
      <c r="V12" s="303"/>
      <c r="W12" s="341" t="s">
        <v>614</v>
      </c>
      <c r="X12" s="342"/>
      <c r="Y12" s="342"/>
      <c r="Z12" s="342"/>
      <c r="AA12" s="342"/>
      <c r="AB12" s="342"/>
      <c r="AC12" s="342"/>
      <c r="AD12" s="342"/>
      <c r="AE12" s="342"/>
      <c r="AF12" s="342"/>
      <c r="AH12" s="323" t="s">
        <v>243</v>
      </c>
      <c r="AI12" s="323">
        <v>90</v>
      </c>
      <c r="AJ12" s="323">
        <v>67000</v>
      </c>
      <c r="AK12" s="323">
        <v>67000</v>
      </c>
      <c r="AL12" s="324" t="s">
        <v>274</v>
      </c>
      <c r="AM12" s="326">
        <v>10</v>
      </c>
      <c r="AN12" s="324" t="s">
        <v>401</v>
      </c>
      <c r="AO12" s="329">
        <v>100</v>
      </c>
      <c r="AP12" s="324"/>
      <c r="AQ12" s="326"/>
      <c r="AR12" s="324"/>
      <c r="AS12" s="326"/>
      <c r="AT12" s="324"/>
      <c r="AU12" s="326"/>
      <c r="AV12" s="324"/>
      <c r="AW12" s="326"/>
      <c r="AX12" s="324"/>
      <c r="AY12" s="326"/>
      <c r="AZ12" s="324"/>
      <c r="BA12" s="326"/>
      <c r="BB12" s="324"/>
      <c r="BC12" s="326"/>
    </row>
    <row r="13" spans="1:55" ht="13.5" thickTop="1" thickBot="1">
      <c r="A13" s="318">
        <f t="shared" ref="A13:A65" si="0">A12+1</f>
        <v>7</v>
      </c>
      <c r="B13" s="319"/>
      <c r="C13" s="309" t="s">
        <v>402</v>
      </c>
      <c r="D13" s="309"/>
      <c r="E13" s="309"/>
      <c r="F13" s="309"/>
      <c r="G13" s="309"/>
      <c r="H13" s="309"/>
      <c r="I13" s="309"/>
      <c r="J13" s="309"/>
      <c r="K13" s="334"/>
      <c r="L13" s="344"/>
      <c r="M13" s="345" t="s">
        <v>403</v>
      </c>
      <c r="N13" s="346" t="str">
        <f>IF(N$14&gt;0,M13,"")</f>
        <v>DESIGN</v>
      </c>
      <c r="O13" s="346" t="str">
        <f t="shared" ref="O13:Q15" si="1">IF(O$14&gt;0,N13,"")</f>
        <v/>
      </c>
      <c r="P13" s="346" t="str">
        <f t="shared" si="1"/>
        <v/>
      </c>
      <c r="Q13" s="346" t="str">
        <f t="shared" si="1"/>
        <v/>
      </c>
      <c r="R13" s="346" t="str">
        <f>IF(R$14&gt;0,Q13,"")</f>
        <v/>
      </c>
      <c r="S13" s="346" t="str">
        <f>IF(S$14&gt;0,R13,"")</f>
        <v/>
      </c>
      <c r="T13" s="346" t="str">
        <f>IF(T$14&gt;0,S13,"")</f>
        <v/>
      </c>
      <c r="U13" s="515" t="str">
        <f>IF(U$14&gt;0,T13,"")</f>
        <v/>
      </c>
      <c r="V13" s="303"/>
      <c r="X13" s="320"/>
      <c r="Z13" s="320"/>
      <c r="AA13" s="320"/>
      <c r="AB13" s="320"/>
      <c r="AC13" s="320"/>
      <c r="AD13" s="320"/>
      <c r="AE13" s="320"/>
      <c r="AF13" s="320"/>
      <c r="AH13" s="323" t="s">
        <v>238</v>
      </c>
      <c r="AI13" s="323">
        <v>110</v>
      </c>
      <c r="AJ13" s="323">
        <v>86860</v>
      </c>
      <c r="AK13" s="323">
        <v>77650</v>
      </c>
      <c r="AL13" s="324"/>
      <c r="AM13" s="326"/>
      <c r="AN13" s="324" t="s">
        <v>404</v>
      </c>
      <c r="AO13" s="326">
        <v>100</v>
      </c>
      <c r="AP13" s="324"/>
      <c r="AQ13" s="326"/>
      <c r="AR13" s="324"/>
      <c r="AS13" s="326"/>
      <c r="AT13" s="324"/>
      <c r="AU13" s="326"/>
      <c r="AV13" s="324"/>
      <c r="AW13" s="326"/>
      <c r="AX13" s="324"/>
      <c r="AY13" s="326"/>
      <c r="AZ13" s="324"/>
      <c r="BA13" s="326"/>
      <c r="BB13" s="324"/>
      <c r="BC13" s="326"/>
    </row>
    <row r="14" spans="1:55" ht="13.5" thickTop="1" thickBot="1">
      <c r="A14" s="318">
        <f t="shared" si="0"/>
        <v>8</v>
      </c>
      <c r="B14" s="319"/>
      <c r="C14" s="309" t="s">
        <v>405</v>
      </c>
      <c r="D14" s="309"/>
      <c r="E14" s="309"/>
      <c r="F14" s="309"/>
      <c r="G14" s="309"/>
      <c r="H14" s="309"/>
      <c r="I14" s="309"/>
      <c r="J14" s="309"/>
      <c r="K14" s="334"/>
      <c r="L14" s="347"/>
      <c r="M14" s="348">
        <f>IF($W$2="From Preselector",IF(OR(Output!C27=0,Output!C27=""),0,VALUE(RIGHT(TRIM(Output!C27),1))),IF($W$2="Manual",X14,IF($W$2="Light RCS",IF(OR('Light RCS'!C28=0,'Light RCS'!C28=""),0,VALUE(RIGHT(TRIM('Light RCS'!C28),1))),0)))</f>
        <v>1</v>
      </c>
      <c r="N14" s="348">
        <f>IF($W$2="From Preselector",IF(OR(Output!D27=0,Output!D27=""),0,VALUE(RIGHT(TRIM(Output!D27),1))),IF($W$2="Manual",Y14,IF($W$2="Light RCS",IF(OR('Light RCS'!D28=0,'Light RCS'!D28=""),0,VALUE(RIGHT(TRIM('Light RCS'!D28),1))),0)))</f>
        <v>2</v>
      </c>
      <c r="O14" s="348">
        <f>IF($W$2="From Preselector",IF(OR(Output!E27=0,Output!E27=""),0,VALUE(RIGHT(TRIM(Output!E27),1))),IF($W$2="Manual",Z14,IF($W$2="Light RCS",IF(OR('Light RCS'!E28=0,'Light RCS'!E28=""),0,VALUE(RIGHT(TRIM('Light RCS'!E28),1))),0)))</f>
        <v>0</v>
      </c>
      <c r="P14" s="348">
        <f>IF($W$2="From Preselector",IF(OR(Output!F27=0,Output!F27=""),0,VALUE(RIGHT(TRIM(Output!F27),1))),IF($W$2="Manual",AA14,IF($W$2="Light RCS",IF(OR('Light RCS'!F28=0,'Light RCS'!F28=""),0,VALUE(RIGHT(TRIM('Light RCS'!F28),1))),0)))</f>
        <v>0</v>
      </c>
      <c r="Q14" s="348">
        <f>IF($W$2="From Preselector",IF(OR(Output!G27=0,Output!G27=""),0,VALUE(RIGHT(TRIM(Output!G27),1))),IF($W$2="Manual",AB14,IF($W$2="Light RCS",IF(OR('Light RCS'!G28=0,'Light RCS'!G28=""),0,VALUE(RIGHT(TRIM('Light RCS'!G28),1))),0)))</f>
        <v>0</v>
      </c>
      <c r="R14" s="348">
        <f>IF($W$2="From Preselector",IF(OR(Output!H27=0,Output!H27=""),0,VALUE(RIGHT(TRIM(Output!H27),1))),IF($W$2="Manual",AC14,IF($W$2="Light RCS",IF(OR('Light RCS'!H28=0,'Light RCS'!H28=""),0,VALUE(RIGHT(TRIM('Light RCS'!H28),1))),0)))</f>
        <v>0</v>
      </c>
      <c r="S14" s="348">
        <f>IF($W$2="From Preselector",IF(OR(Output!I27=0,Output!I27=""),0,VALUE(RIGHT(TRIM(Output!I27),1))),IF($W$2="Manual",AD14,IF($W$2="Light RCS",IF(OR('Light RCS'!I28=0,'Light RCS'!I28=""),0,VALUE(RIGHT(TRIM('Light RCS'!I28),1))),0)))</f>
        <v>0</v>
      </c>
      <c r="T14" s="348">
        <f>IF($W$2="From Preselector",IF(OR(Output!J27=0,Output!J27=""),0,VALUE(RIGHT(TRIM(Output!J27),1))),IF($W$2="Manual",AE14,IF($W$2="Light RCS",IF(OR('Light RCS'!J28=0,'Light RCS'!J28=""),0,VALUE(RIGHT(TRIM('Light RCS'!J28),1))),0)))</f>
        <v>0</v>
      </c>
      <c r="U14" s="516">
        <f>IF($W$2="From Preselector",IF(OR(Output!K27=0,Output!K27=""),0,VALUE(RIGHT(TRIM(Output!K27),1))),IF($W$2="Manual",AF14,IF($W$2="Light RCS",IF(OR('Light RCS'!K28=0,'Light RCS'!K28=""),0,VALUE(RIGHT(TRIM('Light RCS'!K28),1))),0)))</f>
        <v>0</v>
      </c>
      <c r="V14" s="303"/>
      <c r="W14" s="341" t="s">
        <v>615</v>
      </c>
      <c r="X14" s="342"/>
      <c r="Y14" s="342"/>
      <c r="Z14" s="342"/>
      <c r="AA14" s="342"/>
      <c r="AB14" s="342"/>
      <c r="AC14" s="427"/>
      <c r="AD14" s="427"/>
      <c r="AE14" s="427"/>
      <c r="AF14" s="343"/>
      <c r="AH14" s="323" t="s">
        <v>305</v>
      </c>
      <c r="AI14" s="323">
        <v>130</v>
      </c>
      <c r="AJ14" s="323">
        <v>114000</v>
      </c>
      <c r="AK14" s="323">
        <v>114000</v>
      </c>
      <c r="AL14" s="324"/>
      <c r="AM14" s="326"/>
      <c r="AN14" s="324" t="s">
        <v>406</v>
      </c>
      <c r="AO14" s="329">
        <v>14.503769999999999</v>
      </c>
      <c r="AP14" s="324"/>
      <c r="AQ14" s="326"/>
      <c r="AR14" s="324"/>
      <c r="AS14" s="326"/>
      <c r="AT14" s="324"/>
      <c r="AU14" s="326"/>
      <c r="AV14" s="324"/>
      <c r="AW14" s="326"/>
      <c r="AX14" s="324"/>
      <c r="AY14" s="326"/>
      <c r="AZ14" s="324"/>
      <c r="BA14" s="326"/>
      <c r="BB14" s="324"/>
      <c r="BC14" s="326"/>
    </row>
    <row r="15" spans="1:55" ht="13.5" thickTop="1" thickBot="1">
      <c r="A15" s="318">
        <f t="shared" si="0"/>
        <v>9</v>
      </c>
      <c r="B15" s="319"/>
      <c r="C15" s="309" t="s">
        <v>407</v>
      </c>
      <c r="D15" s="309"/>
      <c r="E15" s="309"/>
      <c r="F15" s="309"/>
      <c r="G15" s="309"/>
      <c r="H15" s="309"/>
      <c r="I15" s="309"/>
      <c r="J15" s="309"/>
      <c r="K15" s="334"/>
      <c r="L15" s="347"/>
      <c r="M15" s="349" t="s">
        <v>365</v>
      </c>
      <c r="N15" s="350" t="str">
        <f>IF(N$14&gt;0,M15,"")</f>
        <v>xxx</v>
      </c>
      <c r="O15" s="351" t="str">
        <f t="shared" si="1"/>
        <v/>
      </c>
      <c r="P15" s="351" t="str">
        <f t="shared" si="1"/>
        <v/>
      </c>
      <c r="Q15" s="350" t="str">
        <f t="shared" si="1"/>
        <v/>
      </c>
      <c r="R15" s="350" t="str">
        <f>IF(R$14&gt;0,Q15,"")</f>
        <v/>
      </c>
      <c r="S15" s="350" t="str">
        <f>IF(S$14&gt;0,R15,"")</f>
        <v/>
      </c>
      <c r="T15" s="350" t="str">
        <f>IF(T$14&gt;0,S15,"")</f>
        <v/>
      </c>
      <c r="U15" s="517" t="str">
        <f>IF(U$14&gt;0,T15,"")</f>
        <v/>
      </c>
      <c r="V15" s="303"/>
      <c r="X15" s="320"/>
      <c r="Y15" s="320"/>
      <c r="Z15" s="320"/>
      <c r="AA15" s="320"/>
      <c r="AB15" s="320"/>
      <c r="AC15" s="320"/>
      <c r="AD15" s="320"/>
      <c r="AE15" s="320"/>
      <c r="AF15" s="320"/>
      <c r="AH15" s="323" t="s">
        <v>239</v>
      </c>
      <c r="AI15" s="323">
        <v>130</v>
      </c>
      <c r="AJ15" s="323">
        <v>155000</v>
      </c>
      <c r="AK15" s="323">
        <v>140000</v>
      </c>
      <c r="AL15" s="324"/>
      <c r="AM15" s="326"/>
      <c r="AN15" s="324" t="s">
        <v>408</v>
      </c>
      <c r="AO15" s="329">
        <v>14.503769999999999</v>
      </c>
      <c r="AP15" s="324"/>
      <c r="AQ15" s="326"/>
      <c r="AR15" s="324"/>
      <c r="AS15" s="326"/>
      <c r="AT15" s="324"/>
      <c r="AU15" s="326"/>
      <c r="AV15" s="324"/>
      <c r="AW15" s="326"/>
      <c r="AX15" s="324"/>
      <c r="AY15" s="326"/>
      <c r="AZ15" s="324"/>
      <c r="BA15" s="326"/>
      <c r="BB15" s="324"/>
      <c r="BC15" s="326"/>
    </row>
    <row r="16" spans="1:55" ht="13" thickTop="1">
      <c r="A16" s="318">
        <f t="shared" si="0"/>
        <v>10</v>
      </c>
      <c r="B16" s="319"/>
      <c r="C16" s="309" t="s">
        <v>409</v>
      </c>
      <c r="D16" s="309"/>
      <c r="E16" s="309"/>
      <c r="F16" s="309"/>
      <c r="G16" s="309"/>
      <c r="H16" s="309"/>
      <c r="I16" s="309"/>
      <c r="J16" s="309"/>
      <c r="K16" s="334"/>
      <c r="L16" s="347"/>
      <c r="M16" s="352">
        <f>IF($W$2="Manual",X16,IF($W$2="From Preselector",IF(M$12=1,IF(OR(Output!$C$24=0,Output!$C$24=""),0,Output!$C$24),IF(M$12=2,IF(OR(Output!$D$24=0,Output!$D$24=""),0,Output!$D$24),IF(M$12=3,IF(OR(Output!$E$24=0,Output!$E$24=""),0,Output!$E$24),""))),IF($W$2="Light RCS",IF(M$12=1,IF(OR('Light RCS'!$C$25=0,'Light RCS'!$C$25=""),0,'Light RCS'!$C$25),IF(M$12=2,IF(OR('Light RCS'!$D$25=0,'Light RCS'!$D$25=""),0,'Light RCS'!$D$25),IF(M$12=3,IF(OR('Light RCS'!$E$25=0,'Light RCS'!$E$25=""),0,'Light RCS'!$E$25),""))), "Data Input")))</f>
        <v>2.016</v>
      </c>
      <c r="N16" s="352">
        <f>IF($W$2="Manual",Y16,IF($W$2="From Preselector",IF(N$12=1,IF(OR(Output!$C$24=0,Output!$C$24=""),0,Output!$C$24),IF(N$12=2,IF(OR(Output!$D$24=0,Output!$D$24=""),0,Output!$D$24),IF(N$12=3,IF(OR(Output!$E$24=0,Output!$E$24=""),0,Output!$E$24),""))),IF($W$2="Light RCS",IF(N$12=1,IF(OR('Light RCS'!$C$25=0,'Light RCS'!$C$25=""),0,'Light RCS'!$C$25),IF(N$12=2,IF(OR('Light RCS'!$D$25=0,'Light RCS'!$D$25=""),0,'Light RCS'!$D$25),IF(N$12=3,IF(OR('Light RCS'!$E$25=0,'Light RCS'!$E$25=""),0,'Light RCS'!$E$25),""))), "Data Input")))</f>
        <v>2.016</v>
      </c>
      <c r="O16" s="352" t="str">
        <f>IF($W$2="Manual",Z16,IF($W$2="From Preselector",IF(O$12=1,IF(OR(Output!$C$24=0,Output!$C$24=""),0,Output!$C$24),IF(O$12=2,IF(OR(Output!$D$24=0,Output!$D$24=""),0,Output!$D$24),IF(O$12=3,IF(OR(Output!$E$24=0,Output!$E$24=""),0,Output!$E$24),""))),IF($W$2="Light RCS",IF(O$12=1,IF(OR('Light RCS'!$C$25=0,'Light RCS'!$C$25=""),0,'Light RCS'!$C$25),IF(O$12=2,IF(OR('Light RCS'!$D$25=0,'Light RCS'!$D$25=""),0,'Light RCS'!$D$25),IF(O$12=3,IF(OR('Light RCS'!$E$25=0,'Light RCS'!$E$25=""),0,'Light RCS'!$E$25),""))), "Data Input")))</f>
        <v/>
      </c>
      <c r="P16" s="352" t="str">
        <f>IF($W$2="Manual",AA16,IF($W$2="From Preselector",IF(P$12=1,IF(OR(Output!$C$24=0,Output!$C$24=""),0,Output!$C$24),IF(P$12=2,IF(OR(Output!$D$24=0,Output!$D$24=""),0,Output!$D$24),IF(P$12=3,IF(OR(Output!$E$24=0,Output!$E$24=""),0,Output!$E$24),""))),IF($W$2="Light RCS",IF(P$12=1,IF(OR('Light RCS'!$C$25=0,'Light RCS'!$C$25=""),0,'Light RCS'!$C$25),IF(P$12=2,IF(OR('Light RCS'!$D$25=0,'Light RCS'!$D$25=""),0,'Light RCS'!$D$25),IF(P$12=3,IF(OR('Light RCS'!$E$25=0,'Light RCS'!$E$25=""),0,'Light RCS'!$E$25),""))), "Data Input")))</f>
        <v/>
      </c>
      <c r="Q16" s="352" t="str">
        <f>IF($W$2="Manual",AB16,IF($W$2="From Preselector",IF(Q$12=1,IF(OR(Output!$C$24=0,Output!$C$24=""),0,Output!$C$24),IF(Q$12=2,IF(OR(Output!$D$24=0,Output!$D$24=""),0,Output!$D$24),IF(Q$12=3,IF(OR(Output!$E$24=0,Output!$E$24=""),0,Output!$E$24),""))),IF($W$2="Light RCS",IF(Q$12=1,IF(OR('Light RCS'!$C$25=0,'Light RCS'!$C$25=""),0,'Light RCS'!$C$25),IF(Q$12=2,IF(OR('Light RCS'!$D$25=0,'Light RCS'!$D$25=""),0,'Light RCS'!$D$25),IF(Q$12=3,IF(OR('Light RCS'!$E$25=0,'Light RCS'!$E$25=""),0,'Light RCS'!$E$25),""))), "Data Input")))</f>
        <v/>
      </c>
      <c r="R16" s="352" t="str">
        <f>IF($W$2="Manual",AC16,IF($W$2="From Preselector",IF(R$12=1,IF(OR(Output!$C$24=0,Output!$C$24=""),0,Output!$C$24),IF(R$12=2,IF(OR(Output!$D$24=0,Output!$D$24=""),0,Output!$D$24),IF(R$12=3,IF(OR(Output!$E$24=0,Output!$E$24=""),0,Output!$E$24),""))),IF($W$2="Light RCS",IF(R$12=1,IF(OR('Light RCS'!$C$25=0,'Light RCS'!$C$25=""),0,'Light RCS'!$C$25),IF(R$12=2,IF(OR('Light RCS'!$D$25=0,'Light RCS'!$D$25=""),0,'Light RCS'!$D$25),IF(R$12=3,IF(OR('Light RCS'!$E$25=0,'Light RCS'!$E$25=""),0,'Light RCS'!$E$25),""))), "Data Input")))</f>
        <v/>
      </c>
      <c r="S16" s="352" t="str">
        <f>IF($W$2="Manual",AD16,IF($W$2="From Preselector",IF(S$12=1,IF(OR(Output!$C$24=0,Output!$C$24=""),0,Output!$C$24),IF(S$12=2,IF(OR(Output!$D$24=0,Output!$D$24=""),0,Output!$D$24),IF(S$12=3,IF(OR(Output!$E$24=0,Output!$E$24=""),0,Output!$E$24),""))),IF($W$2="Light RCS",IF(S$12=1,IF(OR('Light RCS'!$C$25=0,'Light RCS'!$C$25=""),0,'Light RCS'!$C$25),IF(S$12=2,IF(OR('Light RCS'!$D$25=0,'Light RCS'!$D$25=""),0,'Light RCS'!$D$25),IF(S$12=3,IF(OR('Light RCS'!$E$25=0,'Light RCS'!$E$25=""),0,'Light RCS'!$E$25),""))), "Data Input")))</f>
        <v/>
      </c>
      <c r="T16" s="352" t="str">
        <f>IF($W$2="Manual",AE16,IF($W$2="From Preselector",IF(T$12=1,IF(OR(Output!$C$24=0,Output!$C$24=""),0,Output!$C$24),IF(T$12=2,IF(OR(Output!$D$24=0,Output!$D$24=""),0,Output!$D$24),IF(T$12=3,IF(OR(Output!$E$24=0,Output!$E$24=""),0,Output!$E$24),""))),IF($W$2="Light RCS",IF(T$12=1,IF(OR('Light RCS'!$C$25=0,'Light RCS'!$C$25=""),0,'Light RCS'!$C$25),IF(T$12=2,IF(OR('Light RCS'!$D$25=0,'Light RCS'!$D$25=""),0,'Light RCS'!$D$25),IF(T$12=3,IF(OR('Light RCS'!$E$25=0,'Light RCS'!$E$25=""),0,'Light RCS'!$E$25),""))), "Data Input")))</f>
        <v/>
      </c>
      <c r="U16" s="518" t="str">
        <f>IF($W$2="Manual",AF16,IF($W$2="From Preselector",IF(U$12=1,IF(OR(Output!$C$24=0,Output!$C$24=""),0,Output!$C$24),IF(U$12=2,IF(OR(Output!$D$24=0,Output!$D$24=""),0,Output!$D$24),IF(U$12=3,IF(OR(Output!$E$24=0,Output!$E$24=""),0,Output!$E$24),""))),IF($W$2="Light RCS",IF(U$12=1,IF(OR('Light RCS'!$C$25=0,'Light RCS'!$C$25=""),0,'Light RCS'!$C$25),IF(U$12=2,IF(OR('Light RCS'!$D$25=0,'Light RCS'!$D$25=""),0,'Light RCS'!$D$25),IF(U$12=3,IF(OR('Light RCS'!$E$25=0,'Light RCS'!$E$25=""),0,'Light RCS'!$E$25),""))), "Data Input")))</f>
        <v/>
      </c>
      <c r="V16" s="303"/>
      <c r="W16" s="353" t="s">
        <v>125</v>
      </c>
      <c r="X16" s="354"/>
      <c r="Y16" s="354"/>
      <c r="Z16" s="354"/>
      <c r="AA16" s="354"/>
      <c r="AB16" s="354"/>
      <c r="AC16" s="428"/>
      <c r="AD16" s="428"/>
      <c r="AE16" s="428"/>
      <c r="AF16" s="355"/>
      <c r="AH16" s="323" t="s">
        <v>315</v>
      </c>
      <c r="AI16" s="323">
        <v>160</v>
      </c>
      <c r="AJ16" s="323">
        <v>198388.3</v>
      </c>
      <c r="AK16" s="323">
        <v>198388.3</v>
      </c>
      <c r="AL16" s="324"/>
      <c r="AM16" s="326"/>
      <c r="AN16" s="324"/>
      <c r="AO16" s="326"/>
      <c r="AP16" s="324"/>
      <c r="AQ16" s="326"/>
      <c r="AR16" s="324"/>
      <c r="AS16" s="326"/>
      <c r="AT16" s="324"/>
      <c r="AU16" s="326"/>
      <c r="AV16" s="324"/>
      <c r="AW16" s="326"/>
      <c r="AX16" s="324"/>
      <c r="AY16" s="326"/>
      <c r="AZ16" s="324"/>
      <c r="BA16" s="326"/>
      <c r="BB16" s="324"/>
      <c r="BC16" s="326"/>
    </row>
    <row r="17" spans="1:55">
      <c r="A17" s="318">
        <f t="shared" si="0"/>
        <v>11</v>
      </c>
      <c r="B17" s="319"/>
      <c r="C17" s="309" t="s">
        <v>410</v>
      </c>
      <c r="D17" s="309"/>
      <c r="E17" s="309"/>
      <c r="F17" s="309"/>
      <c r="G17" s="309"/>
      <c r="H17" s="309"/>
      <c r="I17" s="334"/>
      <c r="J17" s="309"/>
      <c r="K17" s="334"/>
      <c r="L17" s="356" t="s">
        <v>138</v>
      </c>
      <c r="M17" s="357">
        <f>IF($W$2="Manual",IF(X17=0,0,IF(RIGHT($L17,1)="a",X17*VLOOKUP($L17,$AN$8:$AO$20,2,FALSE),IF(RIGHT($L17,2)="ig",X17*VLOOKUP($L17,$AN$8:$AO$20,2,FALSE)-14.5,X17*VLOOKUP($L17,$AN$8:$AO$20,2,FALSE)-1))),IF($W$2="From Preselector",IF(OR(Output!C31=0,Output!C31=""),0,IF(RIGHT($L17,1)="a",Output!C31*VLOOKUP($L17,$AN$8:$AO$20,2,FALSE),IF(RIGHT($L17,2)="ig",Output!C31*VLOOKUP($L17,$AN$8:$AO$20,2,FALSE)-14.5,Output!C31*VLOOKUP($L17,$AN$8:$AO$20,2,FALSE)-1))),IF($W$2="Light RCS",IF(OR('Light RCS'!C32=0,'Light RCS'!C32=""),0,IF(RIGHT($L17,1)="a",'Light RCS'!C32*VLOOKUP($L17,$AN$8:$AO$20,2,FALSE),IF(RIGHT($L17,2)="ig",'Light RCS'!C32*VLOOKUP($L17,$AN$8:$AO$20,2,FALSE)-14.5,'Light RCS'!C32*VLOOKUP($L17,$AN$8:$AO$20,2,FALSE)-1))),"Data Input")))</f>
        <v>0.9</v>
      </c>
      <c r="N17" s="357">
        <f>IF($W$2="Manual",IF(Y17=0,0,IF(RIGHT($L17,1)="a",Y17*VLOOKUP($L17,$AN$8:$AO$20,2,FALSE),IF(RIGHT($L17,2)="ig",Y17*VLOOKUP($L17,$AN$8:$AO$20,2,FALSE)-14.5,Y17*VLOOKUP($L17,$AN$8:$AO$20,2,FALSE)-1))),IF($W$2="From Preselector",IF(OR(Output!D31=0,Output!D31=""),0,IF(RIGHT($L17,1)="a",Output!D31*VLOOKUP($L17,$AN$8:$AO$20,2,FALSE),IF(RIGHT($L17,2)="ig",Output!D31*VLOOKUP($L17,$AN$8:$AO$20,2,FALSE)-14.5,Output!D31*VLOOKUP($L17,$AN$8:$AO$20,2,FALSE)-1))),IF($W$2="Light RCS",IF(OR('Light RCS'!D32=0,'Light RCS'!D32=""),0,IF(RIGHT($L17,1)="a",'Light RCS'!D32*VLOOKUP($L17,$AN$8:$AO$20,2,FALSE),IF(RIGHT($L17,2)="ig",'Light RCS'!D32*VLOOKUP($L17,$AN$8:$AO$20,2,FALSE)-14.5,'Light RCS'!D32*VLOOKUP($L17,$AN$8:$AO$20,2,FALSE)-1))),"Data Input")))</f>
        <v>2.0699999999999998</v>
      </c>
      <c r="O17" s="357">
        <f>IF($W$2="Manual",IF(Z17=0,0,IF(RIGHT($L17,1)="a",Z17*VLOOKUP($L17,$AN$8:$AO$20,2,FALSE),IF(RIGHT($L17,2)="ig",Z17*VLOOKUP($L17,$AN$8:$AO$20,2,FALSE)-14.5,Z17*VLOOKUP($L17,$AN$8:$AO$20,2,FALSE)-1))),IF($W$2="From Preselector",IF(OR(Output!E31=0,Output!E31=""),0,IF(RIGHT($L17,1)="a",Output!E31*VLOOKUP($L17,$AN$8:$AO$20,2,FALSE),IF(RIGHT($L17,2)="ig",Output!E31*VLOOKUP($L17,$AN$8:$AO$20,2,FALSE)-14.5,Output!E31*VLOOKUP($L17,$AN$8:$AO$20,2,FALSE)-1))),IF($W$2="Light RCS",IF(OR('Light RCS'!E32=0,'Light RCS'!E32=""),0,IF(RIGHT($L17,1)="a",'Light RCS'!E32*VLOOKUP($L17,$AN$8:$AO$20,2,FALSE),IF(RIGHT($L17,2)="ig",'Light RCS'!E32*VLOOKUP($L17,$AN$8:$AO$20,2,FALSE)-14.5,'Light RCS'!E32*VLOOKUP($L17,$AN$8:$AO$20,2,FALSE)-1))),"Data Input")))</f>
        <v>0</v>
      </c>
      <c r="P17" s="357">
        <f>IF($W$2="Manual",IF(AA17=0,0,IF(RIGHT($L17,1)="a",AA17*VLOOKUP($L17,$AN$8:$AO$20,2,FALSE),IF(RIGHT($L17,2)="ig",AA17*VLOOKUP($L17,$AN$8:$AO$20,2,FALSE)-14.5,AA17*VLOOKUP($L17,$AN$8:$AO$20,2,FALSE)-1))),IF($W$2="From Preselector",IF(OR(Output!F31=0,Output!F31=""),0,IF(RIGHT($L17,1)="a",Output!F31*VLOOKUP($L17,$AN$8:$AO$20,2,FALSE),IF(RIGHT($L17,2)="ig",Output!F31*VLOOKUP($L17,$AN$8:$AO$20,2,FALSE)-14.5,Output!F31*VLOOKUP($L17,$AN$8:$AO$20,2,FALSE)-1))),IF($W$2="Light RCS",IF(OR('Light RCS'!F32=0,'Light RCS'!F32=""),0,IF(RIGHT($L17,1)="a",'Light RCS'!F32*VLOOKUP($L17,$AN$8:$AO$20,2,FALSE),IF(RIGHT($L17,2)="ig",'Light RCS'!F32*VLOOKUP($L17,$AN$8:$AO$20,2,FALSE)-14.5,'Light RCS'!F32*VLOOKUP($L17,$AN$8:$AO$20,2,FALSE)-1))),"Data Input")))</f>
        <v>0</v>
      </c>
      <c r="Q17" s="357">
        <f>IF($W$2="Manual",IF(AB17=0,0,IF(RIGHT($L17,1)="a",AB17*VLOOKUP($L17,$AN$8:$AO$20,2,FALSE),IF(RIGHT($L17,2)="ig",AB17*VLOOKUP($L17,$AN$8:$AO$20,2,FALSE)-14.5,AB17*VLOOKUP($L17,$AN$8:$AO$20,2,FALSE)-1))),IF($W$2="From Preselector",IF(OR(Output!G31=0,Output!G31=""),0,IF(RIGHT($L17,1)="a",Output!G31*VLOOKUP($L17,$AN$8:$AO$20,2,FALSE),IF(RIGHT($L17,2)="ig",Output!G31*VLOOKUP($L17,$AN$8:$AO$20,2,FALSE)-14.5,Output!G31*VLOOKUP($L17,$AN$8:$AO$20,2,FALSE)-1))),IF($W$2="Light RCS",IF(OR('Light RCS'!G32=0,'Light RCS'!G32=""),0,IF(RIGHT($L17,1)="a",'Light RCS'!G32*VLOOKUP($L17,$AN$8:$AO$20,2,FALSE),IF(RIGHT($L17,2)="ig",'Light RCS'!G32*VLOOKUP($L17,$AN$8:$AO$20,2,FALSE)-14.5,'Light RCS'!G32*VLOOKUP($L17,$AN$8:$AO$20,2,FALSE)-1))),"Data Input")))</f>
        <v>0</v>
      </c>
      <c r="R17" s="357">
        <f>IF($W$2="Manual",IF(AC17=0,0,IF(RIGHT($L17,1)="a",AC17*VLOOKUP($L17,$AN$8:$AO$20,2,FALSE),IF(RIGHT($L17,2)="ig",AC17*VLOOKUP($L17,$AN$8:$AO$20,2,FALSE)-14.5,AC17*VLOOKUP($L17,$AN$8:$AO$20,2,FALSE)-1))),IF($W$2="From Preselector",IF(OR(Output!H31=0,Output!H31=""),0,IF(RIGHT($L17,1)="a",Output!H31*VLOOKUP($L17,$AN$8:$AO$20,2,FALSE),IF(RIGHT($L17,2)="ig",Output!H31*VLOOKUP($L17,$AN$8:$AO$20,2,FALSE)-14.5,Output!H31*VLOOKUP($L17,$AN$8:$AO$20,2,FALSE)-1))),IF($W$2="Light RCS",IF(OR('Light RCS'!H32=0,'Light RCS'!H32=""),0,IF(RIGHT($L17,1)="a",'Light RCS'!H32*VLOOKUP($L17,$AN$8:$AO$20,2,FALSE),IF(RIGHT($L17,2)="ig",'Light RCS'!H32*VLOOKUP($L17,$AN$8:$AO$20,2,FALSE)-14.5,'Light RCS'!H32*VLOOKUP($L17,$AN$8:$AO$20,2,FALSE)-1))),"Data Input")))</f>
        <v>0</v>
      </c>
      <c r="S17" s="357">
        <f>IF($W$2="Manual",IF(AD17=0,0,IF(RIGHT($L17,1)="a",AD17*VLOOKUP($L17,$AN$8:$AO$20,2,FALSE),IF(RIGHT($L17,2)="ig",AD17*VLOOKUP($L17,$AN$8:$AO$20,2,FALSE)-14.5,AD17*VLOOKUP($L17,$AN$8:$AO$20,2,FALSE)-1))),IF($W$2="From Preselector",IF(OR(Output!I31=0,Output!I31=""),0,IF(RIGHT($L17,1)="a",Output!I31*VLOOKUP($L17,$AN$8:$AO$20,2,FALSE),IF(RIGHT($L17,2)="ig",Output!I31*VLOOKUP($L17,$AN$8:$AO$20,2,FALSE)-14.5,Output!I31*VLOOKUP($L17,$AN$8:$AO$20,2,FALSE)-1))),IF($W$2="Light RCS",IF(OR('Light RCS'!I32=0,'Light RCS'!I32=""),0,IF(RIGHT($L17,1)="a",'Light RCS'!I32*VLOOKUP($L17,$AN$8:$AO$20,2,FALSE),IF(RIGHT($L17,2)="ig",'Light RCS'!I32*VLOOKUP($L17,$AN$8:$AO$20,2,FALSE)-14.5,'Light RCS'!I32*VLOOKUP($L17,$AN$8:$AO$20,2,FALSE)-1))),"Data Input")))</f>
        <v>0</v>
      </c>
      <c r="T17" s="357">
        <f>IF($W$2="Manual",IF(AE17=0,0,IF(RIGHT($L17,1)="a",AE17*VLOOKUP($L17,$AN$8:$AO$20,2,FALSE),IF(RIGHT($L17,2)="ig",AE17*VLOOKUP($L17,$AN$8:$AO$20,2,FALSE)-14.5,AE17*VLOOKUP($L17,$AN$8:$AO$20,2,FALSE)-1))),IF($W$2="From Preselector",IF(OR(Output!J31=0,Output!J31=""),0,IF(RIGHT($L17,1)="a",Output!J31*VLOOKUP($L17,$AN$8:$AO$20,2,FALSE),IF(RIGHT($L17,2)="ig",Output!J31*VLOOKUP($L17,$AN$8:$AO$20,2,FALSE)-14.5,Output!J31*VLOOKUP($L17,$AN$8:$AO$20,2,FALSE)-1))),IF($W$2="Light RCS",IF(OR('Light RCS'!J32=0,'Light RCS'!J32=""),0,IF(RIGHT($L17,1)="a",'Light RCS'!J32*VLOOKUP($L17,$AN$8:$AO$20,2,FALSE),IF(RIGHT($L17,2)="ig",'Light RCS'!J32*VLOOKUP($L17,$AN$8:$AO$20,2,FALSE)-14.5,'Light RCS'!J32*VLOOKUP($L17,$AN$8:$AO$20,2,FALSE)-1))),"Data Input")))</f>
        <v>0</v>
      </c>
      <c r="U17" s="358">
        <f>IF($W$2="Manual",IF(AF17=0,0,IF(RIGHT($L17,1)="a",AF17*VLOOKUP($L17,$AN$8:$AO$20,2,FALSE),IF(RIGHT($L17,2)="ig",AF17*VLOOKUP($L17,$AN$8:$AO$20,2,FALSE)-14.5,AF17*VLOOKUP($L17,$AN$8:$AO$20,2,FALSE)-1))),IF($W$2="From Preselector",IF(OR(Output!K31=0,Output!K31=""),0,IF(RIGHT($L17,1)="a",Output!K31*VLOOKUP($L17,$AN$8:$AO$20,2,FALSE),IF(RIGHT($L17,2)="ig",Output!K31*VLOOKUP($L17,$AN$8:$AO$20,2,FALSE)-14.5,Output!K31*VLOOKUP($L17,$AN$8:$AO$20,2,FALSE)-1))),IF($W$2="Light RCS",IF(OR('Light RCS'!K32=0,'Light RCS'!K32=""),0,IF(RIGHT($L17,1)="a",'Light RCS'!K32*VLOOKUP($L17,$AN$8:$AO$20,2,FALSE),IF(RIGHT($L17,2)="ig",'Light RCS'!K32*VLOOKUP($L17,$AN$8:$AO$20,2,FALSE)-14.5,'Light RCS'!K32*VLOOKUP($L17,$AN$8:$AO$20,2,FALSE)-1))),"Data Input")))</f>
        <v>0</v>
      </c>
      <c r="V17" s="303"/>
      <c r="W17" s="359" t="s">
        <v>616</v>
      </c>
      <c r="X17" s="345"/>
      <c r="Y17" s="345"/>
      <c r="Z17" s="345"/>
      <c r="AA17" s="345"/>
      <c r="AB17" s="345"/>
      <c r="AC17" s="402"/>
      <c r="AD17" s="402"/>
      <c r="AE17" s="402"/>
      <c r="AF17" s="360"/>
      <c r="AH17" s="323" t="s">
        <v>232</v>
      </c>
      <c r="AI17" s="323">
        <v>48</v>
      </c>
      <c r="AJ17" s="323">
        <v>11700</v>
      </c>
      <c r="AK17" s="323">
        <v>11700</v>
      </c>
      <c r="AL17" s="324"/>
      <c r="AM17" s="326"/>
      <c r="AN17" s="324"/>
      <c r="AO17" s="326"/>
      <c r="AP17" s="324"/>
      <c r="AQ17" s="326"/>
      <c r="AR17" s="324"/>
      <c r="AS17" s="326"/>
      <c r="AT17" s="324"/>
      <c r="AU17" s="326"/>
      <c r="AV17" s="324"/>
      <c r="AW17" s="326"/>
      <c r="AX17" s="324"/>
      <c r="AY17" s="326"/>
      <c r="AZ17" s="324"/>
      <c r="BA17" s="326"/>
      <c r="BB17" s="324"/>
      <c r="BC17" s="326"/>
    </row>
    <row r="18" spans="1:55">
      <c r="A18" s="318">
        <f t="shared" si="0"/>
        <v>12</v>
      </c>
      <c r="B18" s="319"/>
      <c r="C18" s="309" t="s">
        <v>411</v>
      </c>
      <c r="D18" s="309"/>
      <c r="E18" s="309"/>
      <c r="F18" s="309"/>
      <c r="G18" s="309"/>
      <c r="H18" s="309"/>
      <c r="I18" s="334"/>
      <c r="J18" s="334"/>
      <c r="K18" s="334"/>
      <c r="L18" s="356" t="s">
        <v>381</v>
      </c>
      <c r="M18" s="361">
        <f>IF($W$2="Manual",IF(X18=0,0,IF($L18="°F",(X18*9/5)+32,X18)),IF($W$2="From Preselector",IF(OR(Output!C30=0,Output!C30=""),0,IF($L18="°F",(Output!C30*9/5)+32,Output!C30)),IF($W$2="Light RCS",IF(OR('Light RCS'!C31=0,'Light RCS'!C31=""),0,IF($L18="°F",('Light RCS'!C31*9/5)+32,'Light RCS'!C31)),"Data Input")))</f>
        <v>35</v>
      </c>
      <c r="N18" s="361">
        <f>IF($W$2="Manual",IF(Y18=0,0,IF($L18="°F",(Y18*9/5)+32,Y18)),IF($W$2="From Preselector",IF(OR(Output!D30=0,Output!D30=""),0,IF($L18="°F",(Output!D30*9/5)+32,Output!D30)),IF($W$2="Light RCS",IF(OR('Light RCS'!D31=0,'Light RCS'!D31=""),0,IF($L18="°F",('Light RCS'!D31*9/5)+32,'Light RCS'!D31)),"Data Input")))</f>
        <v>35</v>
      </c>
      <c r="O18" s="361">
        <f>IF($W$2="Manual",IF(Z18=0,0,IF($L18="°F",(Z18*9/5)+32,Z18)),IF($W$2="From Preselector",IF(OR(Output!E30=0,Output!E30=""),0,IF($L18="°F",(Output!E30*9/5)+32,Output!E30)),IF($W$2="Light RCS",IF(OR('Light RCS'!E31=0,'Light RCS'!E31=""),0,IF($L18="°F",('Light RCS'!E31*9/5)+32,'Light RCS'!E31)),"Data Input")))</f>
        <v>0</v>
      </c>
      <c r="P18" s="361">
        <f>IF($W$2="Manual",IF(AA18=0,0,IF($L18="°F",(AA18*9/5)+32,AA18)),IF($W$2="From Preselector",IF(OR(Output!F30=0,Output!F30=""),0,IF($L18="°F",(Output!F30*9/5)+32,Output!F30)),IF($W$2="Light RCS",IF(OR('Light RCS'!F31=0,'Light RCS'!F31=""),0,IF($L18="°F",('Light RCS'!F31*9/5)+32,'Light RCS'!F31)),"Data Input")))</f>
        <v>0</v>
      </c>
      <c r="Q18" s="361">
        <f>IF($W$2="Manual",IF(AB18=0,0,IF($L18="°F",(AB18*9/5)+32,AB18)),IF($W$2="From Preselector",IF(OR(Output!G30=0,Output!G30=""),0,IF($L18="°F",(Output!G30*9/5)+32,Output!G30)),IF($W$2="Light RCS",IF(OR('Light RCS'!G31=0,'Light RCS'!G31=""),0,IF($L18="°F",('Light RCS'!G31*9/5)+32,'Light RCS'!G31)),"Data Input")))</f>
        <v>0</v>
      </c>
      <c r="R18" s="361">
        <f>IF($W$2="Manual",IF(AC18=0,0,IF($L18="°F",(AC18*9/5)+32,AC18)),IF($W$2="From Preselector",IF(OR(Output!H30=0,Output!H30=""),0,IF($L18="°F",(Output!H30*9/5)+32,Output!H30)),IF($W$2="Light RCS",IF(OR('Light RCS'!H31=0,'Light RCS'!H31=""),0,IF($L18="°F",('Light RCS'!H31*9/5)+32,'Light RCS'!H31)),"Data Input")))</f>
        <v>0</v>
      </c>
      <c r="S18" s="361">
        <f>IF($W$2="Manual",IF(AD18=0,0,IF($L18="°F",(AD18*9/5)+32,AD18)),IF($W$2="From Preselector",IF(OR(Output!I30=0,Output!I30=""),0,IF($L18="°F",(Output!I30*9/5)+32,Output!I30)),IF($W$2="Light RCS",IF(OR('Light RCS'!I31=0,'Light RCS'!I31=""),0,IF($L18="°F",('Light RCS'!I31*9/5)+32,'Light RCS'!I31)),"Data Input")))</f>
        <v>0</v>
      </c>
      <c r="T18" s="361">
        <f>IF($W$2="Manual",IF(AE18=0,0,IF($L18="°F",(AE18*9/5)+32,AE18)),IF($W$2="From Preselector",IF(OR(Output!J30=0,Output!J30=""),0,IF($L18="°F",(Output!J30*9/5)+32,Output!J30)),IF($W$2="Light RCS",IF(OR('Light RCS'!J31=0,'Light RCS'!J31=""),0,IF($L18="°F",('Light RCS'!J31*9/5)+32,'Light RCS'!J31)),"Data Input")))</f>
        <v>0</v>
      </c>
      <c r="U18" s="519">
        <f>IF($W$2="Manual",IF(AF18=0,0,IF($L18="°F",(AF18*9/5)+32,AF18)),IF($W$2="From Preselector",IF(OR(Output!K30=0,Output!K30=""),0,IF($L18="°F",(Output!K30*9/5)+32,Output!K30)),IF($W$2="Light RCS",IF(OR('Light RCS'!K31=0,'Light RCS'!K31=""),0,IF($L18="°F",('Light RCS'!K31*9/5)+32,'Light RCS'!K31)),"Data Input")))</f>
        <v>0</v>
      </c>
      <c r="V18" s="303"/>
      <c r="W18" s="359" t="s">
        <v>617</v>
      </c>
      <c r="X18" s="362"/>
      <c r="Y18" s="362">
        <f>IF(N$14&gt;0,X18,0)</f>
        <v>0</v>
      </c>
      <c r="Z18" s="362">
        <f>IF(O$14&gt;0,Y18,0)</f>
        <v>0</v>
      </c>
      <c r="AA18" s="362">
        <f>IF(P$14&gt;0,Z18,0)</f>
        <v>0</v>
      </c>
      <c r="AB18" s="362">
        <f>IF(Q$14&gt;0,AA18,0)</f>
        <v>0</v>
      </c>
      <c r="AC18" s="429"/>
      <c r="AD18" s="429"/>
      <c r="AE18" s="429"/>
      <c r="AF18" s="363">
        <f>IF(R$14&gt;0,AB18,0)</f>
        <v>0</v>
      </c>
      <c r="AH18" s="323" t="s">
        <v>241</v>
      </c>
      <c r="AI18" s="323">
        <v>65</v>
      </c>
      <c r="AJ18" s="323">
        <v>35806.5</v>
      </c>
      <c r="AK18" s="323">
        <v>35806.5</v>
      </c>
      <c r="AL18" s="324"/>
      <c r="AM18" s="326"/>
      <c r="AN18" s="324"/>
      <c r="AO18" s="326"/>
      <c r="AP18" s="324"/>
      <c r="AQ18" s="326"/>
      <c r="AR18" s="324"/>
      <c r="AS18" s="326"/>
      <c r="AT18" s="324"/>
      <c r="AU18" s="326"/>
      <c r="AV18" s="324"/>
      <c r="AW18" s="326"/>
      <c r="AX18" s="324"/>
      <c r="AY18" s="326"/>
      <c r="AZ18" s="324"/>
      <c r="BA18" s="326"/>
      <c r="BB18" s="324"/>
      <c r="BC18" s="326"/>
    </row>
    <row r="19" spans="1:55">
      <c r="A19" s="318">
        <f t="shared" si="0"/>
        <v>13</v>
      </c>
      <c r="B19" s="319"/>
      <c r="C19" s="309" t="s">
        <v>412</v>
      </c>
      <c r="D19" s="309"/>
      <c r="E19" s="309"/>
      <c r="F19" s="309"/>
      <c r="G19" s="309"/>
      <c r="H19" s="309"/>
      <c r="I19" s="334"/>
      <c r="J19" s="334"/>
      <c r="K19" s="334"/>
      <c r="L19" s="364" t="str">
        <f>L17</f>
        <v>Bar A</v>
      </c>
      <c r="M19" s="357">
        <f>IF($W$2="Manual",IF(X19=0,0,IF(RIGHT($L19,1)="a",X19*VLOOKUP($L19,$AN$8:$AO$20,2,FALSE),IF(RIGHT($L19,2)="ig",X19*VLOOKUP($L19,$AN$8:$AO$20,2,FALSE)-14.5,X19*VLOOKUP($L19,$AN$8:$AO$20,2,FALSE)-1))),IF($W$2="From Preselector",IF(OR(Output!C32=0,Output!C32=""),0,IF(RIGHT($L19,1)="a",Output!C32*VLOOKUP($L19,$AN$8:$AO$20,2,FALSE),IF(RIGHT($L19,2)="ig",Output!C32*VLOOKUP($L19,$AN$8:$AO$20,2,FALSE)-14.5,Output!C32*VLOOKUP($L19,$AN$8:$AO$20,2,FALSE)-1))),IF($W$2="Light RCS",IF(OR('Light RCS'!C33=0,'Light RCS'!C33=""),0,IF(RIGHT($L19,1)="a",'Light RCS'!C33*VLOOKUP($L19,$AN$8:$AO$20,2,FALSE),IF(RIGHT($L19,2)="ig",'Light RCS'!C33*VLOOKUP($L19,$AN$8:$AO$20,2,FALSE)-14.5,'Light RCS'!C33*VLOOKUP($L19,$AN$8:$AO$20,2,FALSE)-1))),"Data Input")))</f>
        <v>2.2400000000000002</v>
      </c>
      <c r="N19" s="357">
        <f>IF($W$2="Manual",IF(Y19=0,0,IF(RIGHT($L19,1)="a",Y19*VLOOKUP($L19,$AN$8:$AO$20,2,FALSE),IF(RIGHT($L19,2)="ig",Y19*VLOOKUP($L19,$AN$8:$AO$20,2,FALSE)-14.5,Y19*VLOOKUP($L19,$AN$8:$AO$20,2,FALSE)-1))),IF($W$2="From Preselector",IF(OR(Output!D32=0,Output!D32=""),0,IF(RIGHT($L19,1)="a",Output!D32*VLOOKUP($L19,$AN$8:$AO$20,2,FALSE),IF(RIGHT($L19,2)="ig",Output!D32*VLOOKUP($L19,$AN$8:$AO$20,2,FALSE)-14.5,Output!D32*VLOOKUP($L19,$AN$8:$AO$20,2,FALSE)-1))),IF($W$2="Light RCS",IF(OR('Light RCS'!D33=0,'Light RCS'!D33=""),0,IF(RIGHT($L19,1)="a",'Light RCS'!D33*VLOOKUP($L19,$AN$8:$AO$20,2,FALSE),IF(RIGHT($L19,2)="ig",'Light RCS'!D33*VLOOKUP($L19,$AN$8:$AO$20,2,FALSE)-14.5,'Light RCS'!D33*VLOOKUP($L19,$AN$8:$AO$20,2,FALSE)-1))),"Data Input")))</f>
        <v>5</v>
      </c>
      <c r="O19" s="357">
        <f>IF($W$2="Manual",IF(Z19=0,0,IF(RIGHT($L19,1)="a",Z19*VLOOKUP($L19,$AN$8:$AO$20,2,FALSE),IF(RIGHT($L19,2)="ig",Z19*VLOOKUP($L19,$AN$8:$AO$20,2,FALSE)-14.5,Z19*VLOOKUP($L19,$AN$8:$AO$20,2,FALSE)-1))),IF($W$2="From Preselector",IF(OR(Output!E32=0,Output!E32=""),0,IF(RIGHT($L19,1)="a",Output!E32*VLOOKUP($L19,$AN$8:$AO$20,2,FALSE),IF(RIGHT($L19,2)="ig",Output!E32*VLOOKUP($L19,$AN$8:$AO$20,2,FALSE)-14.5,Output!E32*VLOOKUP($L19,$AN$8:$AO$20,2,FALSE)-1))),IF($W$2="Light RCS",IF(OR('Light RCS'!E33=0,'Light RCS'!E33=""),0,IF(RIGHT($L19,1)="a",'Light RCS'!E33*VLOOKUP($L19,$AN$8:$AO$20,2,FALSE),IF(RIGHT($L19,2)="ig",'Light RCS'!E33*VLOOKUP($L19,$AN$8:$AO$20,2,FALSE)-14.5,'Light RCS'!E33*VLOOKUP($L19,$AN$8:$AO$20,2,FALSE)-1))),"Data Input")))</f>
        <v>0</v>
      </c>
      <c r="P19" s="357">
        <f>IF($W$2="Manual",IF(AA19=0,0,IF(RIGHT($L19,1)="a",AA19*VLOOKUP($L19,$AN$8:$AO$20,2,FALSE),IF(RIGHT($L19,2)="ig",AA19*VLOOKUP($L19,$AN$8:$AO$20,2,FALSE)-14.5,AA19*VLOOKUP($L19,$AN$8:$AO$20,2,FALSE)-1))),IF($W$2="From Preselector",IF(OR(Output!F32=0,Output!F32=""),0,IF(RIGHT($L19,1)="a",Output!F32*VLOOKUP($L19,$AN$8:$AO$20,2,FALSE),IF(RIGHT($L19,2)="ig",Output!F32*VLOOKUP($L19,$AN$8:$AO$20,2,FALSE)-14.5,Output!F32*VLOOKUP($L19,$AN$8:$AO$20,2,FALSE)-1))),IF($W$2="Light RCS",IF(OR('Light RCS'!F33=0,'Light RCS'!F33=""),0,IF(RIGHT($L19,1)="a",'Light RCS'!F33*VLOOKUP($L19,$AN$8:$AO$20,2,FALSE),IF(RIGHT($L19,2)="ig",'Light RCS'!F33*VLOOKUP($L19,$AN$8:$AO$20,2,FALSE)-14.5,'Light RCS'!F33*VLOOKUP($L19,$AN$8:$AO$20,2,FALSE)-1))),"Data Input")))</f>
        <v>0</v>
      </c>
      <c r="Q19" s="357">
        <f>IF($W$2="Manual",IF(AB19=0,0,IF(RIGHT($L19,1)="a",AB19*VLOOKUP($L19,$AN$8:$AO$20,2,FALSE),IF(RIGHT($L19,2)="ig",AB19*VLOOKUP($L19,$AN$8:$AO$20,2,FALSE)-14.5,AB19*VLOOKUP($L19,$AN$8:$AO$20,2,FALSE)-1))),IF($W$2="From Preselector",IF(OR(Output!G32=0,Output!G32=""),0,IF(RIGHT($L19,1)="a",Output!G32*VLOOKUP($L19,$AN$8:$AO$20,2,FALSE),IF(RIGHT($L19,2)="ig",Output!G32*VLOOKUP($L19,$AN$8:$AO$20,2,FALSE)-14.5,Output!G32*VLOOKUP($L19,$AN$8:$AO$20,2,FALSE)-1))),IF($W$2="Light RCS",IF(OR('Light RCS'!G33=0,'Light RCS'!G33=""),0,IF(RIGHT($L19,1)="a",'Light RCS'!G33*VLOOKUP($L19,$AN$8:$AO$20,2,FALSE),IF(RIGHT($L19,2)="ig",'Light RCS'!G33*VLOOKUP($L19,$AN$8:$AO$20,2,FALSE)-14.5,'Light RCS'!G33*VLOOKUP($L19,$AN$8:$AO$20,2,FALSE)-1))),"Data Input")))</f>
        <v>0</v>
      </c>
      <c r="R19" s="357">
        <f>IF($W$2="Manual",IF(AC19=0,0,IF(RIGHT($L19,1)="a",AC19*VLOOKUP($L19,$AN$8:$AO$20,2,FALSE),IF(RIGHT($L19,2)="ig",AC19*VLOOKUP($L19,$AN$8:$AO$20,2,FALSE)-14.5,AC19*VLOOKUP($L19,$AN$8:$AO$20,2,FALSE)-1))),IF($W$2="From Preselector",IF(OR(Output!H32=0,Output!H32=""),0,IF(RIGHT($L19,1)="a",Output!H32*VLOOKUP($L19,$AN$8:$AO$20,2,FALSE),IF(RIGHT($L19,2)="ig",Output!H32*VLOOKUP($L19,$AN$8:$AO$20,2,FALSE)-14.5,Output!H32*VLOOKUP($L19,$AN$8:$AO$20,2,FALSE)-1))),IF($W$2="Light RCS",IF(OR('Light RCS'!H33=0,'Light RCS'!H33=""),0,IF(RIGHT($L19,1)="a",'Light RCS'!H33*VLOOKUP($L19,$AN$8:$AO$20,2,FALSE),IF(RIGHT($L19,2)="ig",'Light RCS'!H33*VLOOKUP($L19,$AN$8:$AO$20,2,FALSE)-14.5,'Light RCS'!H33*VLOOKUP($L19,$AN$8:$AO$20,2,FALSE)-1))),"Data Input")))</f>
        <v>0</v>
      </c>
      <c r="S19" s="357">
        <f>IF($W$2="Manual",IF(AD19=0,0,IF(RIGHT($L19,1)="a",AD19*VLOOKUP($L19,$AN$8:$AO$20,2,FALSE),IF(RIGHT($L19,2)="ig",AD19*VLOOKUP($L19,$AN$8:$AO$20,2,FALSE)-14.5,AD19*VLOOKUP($L19,$AN$8:$AO$20,2,FALSE)-1))),IF($W$2="From Preselector",IF(OR(Output!I32=0,Output!I32=""),0,IF(RIGHT($L19,1)="a",Output!I32*VLOOKUP($L19,$AN$8:$AO$20,2,FALSE),IF(RIGHT($L19,2)="ig",Output!I32*VLOOKUP($L19,$AN$8:$AO$20,2,FALSE)-14.5,Output!I32*VLOOKUP($L19,$AN$8:$AO$20,2,FALSE)-1))),IF($W$2="Light RCS",IF(OR('Light RCS'!I33=0,'Light RCS'!I33=""),0,IF(RIGHT($L19,1)="a",'Light RCS'!I33*VLOOKUP($L19,$AN$8:$AO$20,2,FALSE),IF(RIGHT($L19,2)="ig",'Light RCS'!I33*VLOOKUP($L19,$AN$8:$AO$20,2,FALSE)-14.5,'Light RCS'!I33*VLOOKUP($L19,$AN$8:$AO$20,2,FALSE)-1))),"Data Input")))</f>
        <v>0</v>
      </c>
      <c r="T19" s="357">
        <f>IF($W$2="Manual",IF(AE19=0,0,IF(RIGHT($L19,1)="a",AE19*VLOOKUP($L19,$AN$8:$AO$20,2,FALSE),IF(RIGHT($L19,2)="ig",AE19*VLOOKUP($L19,$AN$8:$AO$20,2,FALSE)-14.5,AE19*VLOOKUP($L19,$AN$8:$AO$20,2,FALSE)-1))),IF($W$2="From Preselector",IF(OR(Output!J32=0,Output!J32=""),0,IF(RIGHT($L19,1)="a",Output!J32*VLOOKUP($L19,$AN$8:$AO$20,2,FALSE),IF(RIGHT($L19,2)="ig",Output!J32*VLOOKUP($L19,$AN$8:$AO$20,2,FALSE)-14.5,Output!J32*VLOOKUP($L19,$AN$8:$AO$20,2,FALSE)-1))),IF($W$2="Light RCS",IF(OR('Light RCS'!J33=0,'Light RCS'!J33=""),0,IF(RIGHT($L19,1)="a",'Light RCS'!J33*VLOOKUP($L19,$AN$8:$AO$20,2,FALSE),IF(RIGHT($L19,2)="ig",'Light RCS'!J33*VLOOKUP($L19,$AN$8:$AO$20,2,FALSE)-14.5,'Light RCS'!J33*VLOOKUP($L19,$AN$8:$AO$20,2,FALSE)-1))),"Data Input")))</f>
        <v>0</v>
      </c>
      <c r="U19" s="358">
        <f>IF($W$2="Manual",IF(AF19=0,0,IF(RIGHT($L19,1)="a",AF19*VLOOKUP($L19,$AN$8:$AO$20,2,FALSE),IF(RIGHT($L19,2)="ig",AF19*VLOOKUP($L19,$AN$8:$AO$20,2,FALSE)-14.5,AF19*VLOOKUP($L19,$AN$8:$AO$20,2,FALSE)-1))),IF($W$2="From Preselector",IF(OR(Output!K32=0,Output!K32=""),0,IF(RIGHT($L19,1)="a",Output!K32*VLOOKUP($L19,$AN$8:$AO$20,2,FALSE),IF(RIGHT($L19,2)="ig",Output!K32*VLOOKUP($L19,$AN$8:$AO$20,2,FALSE)-14.5,Output!K32*VLOOKUP($L19,$AN$8:$AO$20,2,FALSE)-1))),IF($W$2="Light RCS",IF(OR('Light RCS'!K33=0,'Light RCS'!K33=""),0,IF(RIGHT($L19,1)="a",'Light RCS'!K33*VLOOKUP($L19,$AN$8:$AO$20,2,FALSE),IF(RIGHT($L19,2)="ig",'Light RCS'!K33*VLOOKUP($L19,$AN$8:$AO$20,2,FALSE)-14.5,'Light RCS'!K33*VLOOKUP($L19,$AN$8:$AO$20,2,FALSE)-1))),"Data Input")))</f>
        <v>0</v>
      </c>
      <c r="V19" s="303"/>
      <c r="W19" s="359" t="s">
        <v>618</v>
      </c>
      <c r="X19" s="345"/>
      <c r="Y19" s="345"/>
      <c r="Z19" s="345"/>
      <c r="AA19" s="345"/>
      <c r="AB19" s="345"/>
      <c r="AC19" s="402"/>
      <c r="AD19" s="402"/>
      <c r="AE19" s="402"/>
      <c r="AF19" s="360"/>
      <c r="AH19" s="323" t="s">
        <v>242</v>
      </c>
      <c r="AI19" s="323">
        <v>65</v>
      </c>
      <c r="AJ19" s="323">
        <v>35806.5</v>
      </c>
      <c r="AK19" s="323">
        <v>35806.5</v>
      </c>
      <c r="AL19" s="324"/>
      <c r="AM19" s="326"/>
      <c r="AN19" s="324"/>
      <c r="AO19" s="326"/>
      <c r="AP19" s="324"/>
      <c r="AQ19" s="326"/>
      <c r="AR19" s="324"/>
      <c r="AS19" s="326"/>
      <c r="AT19" s="324"/>
      <c r="AU19" s="326"/>
      <c r="AV19" s="324"/>
      <c r="AW19" s="326"/>
      <c r="AX19" s="324"/>
      <c r="AY19" s="326"/>
      <c r="AZ19" s="324"/>
      <c r="BA19" s="326"/>
      <c r="BB19" s="324"/>
      <c r="BC19" s="326"/>
    </row>
    <row r="20" spans="1:55">
      <c r="A20" s="318">
        <f t="shared" si="0"/>
        <v>14</v>
      </c>
      <c r="B20" s="319"/>
      <c r="C20" s="309" t="s">
        <v>413</v>
      </c>
      <c r="D20" s="309"/>
      <c r="E20" s="309"/>
      <c r="F20" s="309"/>
      <c r="G20" s="309"/>
      <c r="H20" s="309"/>
      <c r="I20" s="334"/>
      <c r="J20" s="309"/>
      <c r="K20" s="334"/>
      <c r="L20" s="364" t="str">
        <f>L18</f>
        <v>°C</v>
      </c>
      <c r="M20" s="365">
        <f>IF($W$2="Manual",IF(X20=0,0,IF($L18="°F",((X20+5)*9/5)+32,(X20+5))),IF($W$2="From Preselector",IF(OR(Output!C33=0,Output!C33=""),0,IF($L18="°F",((Output!C33+5)*9/5)+32,Output!C33+5)),IF($W$2="Light RCS",IF(OR('Light RCS'!C34=0,'Light RCS'!C34=""),0,IF($L18="°F",(('Light RCS'!C34+5)*9/5)+32,'Light RCS'!C34+5)),"Data Input")))</f>
        <v>132.18</v>
      </c>
      <c r="N20" s="365">
        <f>IF($W$2="Manual",IF(Y20=0,0,IF($L18="°F",((Y20+5)*9/5)+32,(Y20+5))),IF($W$2="From Preselector",IF(OR(Output!D33=0,Output!D33=""),0,IF($L18="°F",((Output!D33+5)*9/5)+32,Output!D33+5)),IF($W$2="Light RCS",IF(OR('Light RCS'!D34=0,'Light RCS'!D34=""),0,IF($L18="°F",(('Light RCS'!D34+5)*9/5)+32,'Light RCS'!D34+5)),"Data Input")))</f>
        <v>128.6</v>
      </c>
      <c r="O20" s="365">
        <f>IF($W$2="Manual",IF(Z20=0,0,IF($L18="°F",((Z20+5)*9/5)+32,(Z20+5))),IF($W$2="From Preselector",IF(OR(Output!E33=0,Output!E33=""),0,IF($L18="°F",((Output!E33+5)*9/5)+32,Output!E33+5)),IF($W$2="Light RCS",IF(OR('Light RCS'!E34=0,'Light RCS'!E34=""),0,IF($L18="°F",(('Light RCS'!E34+5)*9/5)+32,'Light RCS'!E34+5)),"Data Input")))</f>
        <v>0</v>
      </c>
      <c r="P20" s="365">
        <f>IF($W$2="Manual",IF(AA20=0,0,IF($L18="°F",((AA20+5)*9/5)+32,(AA20+5))),IF($W$2="From Preselector",IF(OR(Output!F33=0,Output!F33=""),0,IF($L18="°F",((Output!F33+5)*9/5)+32,Output!F33+5)),IF($W$2="Light RCS",IF(OR('Light RCS'!F34=0,'Light RCS'!F34=""),0,IF($L18="°F",(('Light RCS'!F34+5)*9/5)+32,'Light RCS'!F34+5)),"Data Input")))</f>
        <v>0</v>
      </c>
      <c r="Q20" s="365">
        <f>IF($W$2="Manual",IF(AB20=0,0,IF($L18="°F",((AB20+5)*9/5)+32,(AB20+5))),IF($W$2="From Preselector",IF(OR(Output!G33=0,Output!G33=""),0,IF($L18="°F",((Output!G33+5)*9/5)+32,Output!G33+5)),IF($W$2="Light RCS",IF(OR('Light RCS'!G34=0,'Light RCS'!G34=""),0,IF($L18="°F",(('Light RCS'!G34+5)*9/5)+32,'Light RCS'!G34+5)),"Data Input")))</f>
        <v>0</v>
      </c>
      <c r="R20" s="365">
        <f>IF($W$2="Manual",IF(AC20=0,0,IF($L18="°F",((AC20+5)*9/5)+32,(AC20+5))),IF($W$2="From Preselector",IF(OR(Output!H33=0,Output!H33=""),0,IF($L18="°F",((Output!H33+5)*9/5)+32,Output!H33+5)),IF($W$2="Light RCS",IF(OR('Light RCS'!H34=0,'Light RCS'!H34=""),0,IF($L18="°F",(('Light RCS'!H34+5)*9/5)+32,'Light RCS'!H34+5)),"Data Input")))</f>
        <v>0</v>
      </c>
      <c r="S20" s="365">
        <f>IF($W$2="Manual",IF(AD20=0,0,IF($L18="°F",((AD20+5)*9/5)+32,(AD20+5))),IF($W$2="From Preselector",IF(OR(Output!I33=0,Output!I33=""),0,IF($L18="°F",((Output!I33+5)*9/5)+32,Output!I33+5)),IF($W$2="Light RCS",IF(OR('Light RCS'!I34=0,'Light RCS'!I34=""),0,IF($L18="°F",(('Light RCS'!I34+5)*9/5)+32,'Light RCS'!I34+5)),"Data Input")))</f>
        <v>0</v>
      </c>
      <c r="T20" s="365">
        <f>IF($W$2="Manual",IF(AE20=0,0,IF($L18="°F",((AE20+5)*9/5)+32,(AE20+5))),IF($W$2="From Preselector",IF(OR(Output!J33=0,Output!J33=""),0,IF($L18="°F",((Output!J33+5)*9/5)+32,Output!J33+5)),IF($W$2="Light RCS",IF(OR('Light RCS'!J34=0,'Light RCS'!J34=""),0,IF($L18="°F",(('Light RCS'!J34+5)*9/5)+32,'Light RCS'!J34+5)),"Data Input")))</f>
        <v>0</v>
      </c>
      <c r="U20" s="366">
        <f>IF($W$2="Manual",IF(AF20=0,0,IF($L18="°F",((AF20+5)*9/5)+32,(AF20+5))),IF($W$2="From Preselector",IF(OR(Output!K33=0,Output!K33=""),0,IF($L18="°F",((Output!K33+5)*9/5)+32,Output!K33+5)),IF($W$2="Light RCS",IF(OR('Light RCS'!K34=0,'Light RCS'!K34=""),0,IF($L18="°F",(('Light RCS'!K34+5)*9/5)+32,'Light RCS'!K34+5)),"Data Input")))</f>
        <v>0</v>
      </c>
      <c r="V20" s="303"/>
      <c r="W20" s="359" t="s">
        <v>619</v>
      </c>
      <c r="X20" s="345"/>
      <c r="Y20" s="345"/>
      <c r="Z20" s="345"/>
      <c r="AA20" s="345"/>
      <c r="AB20" s="345"/>
      <c r="AC20" s="402"/>
      <c r="AD20" s="402"/>
      <c r="AE20" s="402"/>
      <c r="AF20" s="360"/>
      <c r="AH20" s="323" t="s">
        <v>240</v>
      </c>
      <c r="AI20" s="323">
        <v>57</v>
      </c>
      <c r="AJ20" s="323">
        <v>17651.900000000001</v>
      </c>
      <c r="AK20" s="323">
        <v>17651.900000000001</v>
      </c>
      <c r="AL20" s="324"/>
      <c r="AM20" s="326"/>
      <c r="AN20" s="324"/>
      <c r="AO20" s="326"/>
      <c r="AP20" s="324"/>
      <c r="AQ20" s="326"/>
      <c r="AR20" s="324"/>
      <c r="AS20" s="326"/>
      <c r="AT20" s="324"/>
      <c r="AU20" s="326"/>
      <c r="AV20" s="324"/>
      <c r="AW20" s="326"/>
      <c r="AX20" s="324"/>
      <c r="AY20" s="326"/>
      <c r="AZ20" s="324"/>
      <c r="BA20" s="326"/>
      <c r="BB20" s="324"/>
      <c r="BC20" s="326"/>
    </row>
    <row r="21" spans="1:55">
      <c r="A21" s="318">
        <f t="shared" si="0"/>
        <v>15</v>
      </c>
      <c r="B21" s="319"/>
      <c r="C21" s="309" t="s">
        <v>414</v>
      </c>
      <c r="D21" s="309"/>
      <c r="E21" s="309"/>
      <c r="F21" s="309"/>
      <c r="G21" s="309"/>
      <c r="H21" s="309"/>
      <c r="I21" s="334"/>
      <c r="J21" s="334"/>
      <c r="K21" s="334"/>
      <c r="L21" s="356" t="s">
        <v>124</v>
      </c>
      <c r="M21" s="367">
        <f>IF($W$2="Manual",IF(X21=0,0,X21*VLOOKUP($L21,$AR$8:$AS$20,2,FALSE)),IF($W$2="From Preselector",IF(M$12=1,IF(OR(Output!$C$23=0,Output!$C$23=""),0,Output!$C$23*VLOOKUP($L21,$AR$8:$AS$20,2,FALSE)),IF(M$12=2,IF(OR(Output!$D$23=0,Output!$D$23=""),0,Output!$D$23*VLOOKUP($L21,$AR$8:$AS$20,2,FALSE)),IF(M$12=3,IF(OR(Output!$E$23=0,Output!$E$23=""),0,Output!$E$23*VLOOKUP($L21,$AR$8:$AS$20,2,FALSE)),""))),IF($W$2="Light RCS",IF(M$12=1,IF(OR('Light RCS'!$C$23=0,'Light RCS'!$C$23=""),0,'Light RCS'!$C$23*VLOOKUP($L21,$AR$8:$AS$20,2,FALSE)),IF(M$12=2,IF(OR('Light RCS'!$D$23=0,'Light RCS'!$D$23=""),0,'Light RCS'!$D$23*VLOOKUP($L21,$AR$8:$AS$20,2,FALSE)),IF(M$12=3,IF(OR('Light RCS'!$E$23=0,'Light RCS'!$E$23=""),0,'Light RCS'!$E$23*VLOOKUP($L21,$AR$8:$AS$20,2,FALSE)),""))),"Data Input")))</f>
        <v>515.46</v>
      </c>
      <c r="N21" s="367">
        <f>IF($W$2="Manual",IF(Y21=0,0,Y21*VLOOKUP($L21,$AR$8:$AS$20,2,FALSE)),IF($W$2="From Preselector",IF(N$12=1,IF(OR(Output!$C$23=0,Output!$C$23=""),0,Output!$C$23*VLOOKUP($L21,$AR$8:$AS$20,2,FALSE)),IF(N$12=2,IF(OR(Output!$D$23=0,Output!$D$23=""),0,Output!$D$23*VLOOKUP($L21,$AR$8:$AS$20,2,FALSE)),IF(N$12=3,IF(OR(Output!$E$23=0,Output!$E$23=""),0,Output!$E$23*VLOOKUP($L21,$AR$8:$AS$20,2,FALSE)),""))),IF($W$2="Light RCS",IF(N$12=1,IF(OR('Light RCS'!$C$23=0,'Light RCS'!$C$23=""),0,'Light RCS'!$C$23*VLOOKUP($L21,$AR$8:$AS$20,2,FALSE)),IF(N$12=2,IF(OR('Light RCS'!$D$23=0,'Light RCS'!$D$23=""),0,'Light RCS'!$D$23*VLOOKUP($L21,$AR$8:$AS$20,2,FALSE)),IF(N$12=3,IF(OR('Light RCS'!$E$23=0,'Light RCS'!$E$23=""),0,'Light RCS'!$E$23*VLOOKUP($L21,$AR$8:$AS$20,2,FALSE)),""))),"Data Input")))</f>
        <v>515.46</v>
      </c>
      <c r="O21" s="367" t="str">
        <f>IF($W$2="Manual",IF(Z21=0,0,Z21*VLOOKUP($L21,$AR$8:$AS$20,2,FALSE)),IF($W$2="From Preselector",IF(O$12=1,IF(OR(Output!$C$23=0,Output!$C$23=""),0,Output!$C$23*VLOOKUP($L21,$AR$8:$AS$20,2,FALSE)),IF(O$12=2,IF(OR(Output!$D$23=0,Output!$D$23=""),0,Output!$D$23*VLOOKUP($L21,$AR$8:$AS$20,2,FALSE)),IF(O$12=3,IF(OR(Output!$E$23=0,Output!$E$23=""),0,Output!$E$23*VLOOKUP($L21,$AR$8:$AS$20,2,FALSE)),""))),IF($W$2="Light RCS",IF(O$12=1,IF(OR('Light RCS'!$C$23=0,'Light RCS'!$C$23=""),0,'Light RCS'!$C$23*VLOOKUP($L21,$AR$8:$AS$20,2,FALSE)),IF(O$12=2,IF(OR('Light RCS'!$D$23=0,'Light RCS'!$D$23=""),0,'Light RCS'!$D$23*VLOOKUP($L21,$AR$8:$AS$20,2,FALSE)),IF(O$12=3,IF(OR('Light RCS'!$E$23=0,'Light RCS'!$E$23=""),0,'Light RCS'!$E$23*VLOOKUP($L21,$AR$8:$AS$20,2,FALSE)),""))),"Data Input")))</f>
        <v/>
      </c>
      <c r="P21" s="367" t="str">
        <f>IF($W$2="Manual",IF(AA21=0,0,AA21*VLOOKUP($L21,$AR$8:$AS$20,2,FALSE)),IF($W$2="From Preselector",IF(P$12=1,IF(OR(Output!$C$23=0,Output!$C$23=""),0,Output!$C$23*VLOOKUP($L21,$AR$8:$AS$20,2,FALSE)),IF(P$12=2,IF(OR(Output!$D$23=0,Output!$D$23=""),0,Output!$D$23*VLOOKUP($L21,$AR$8:$AS$20,2,FALSE)),IF(P$12=3,IF(OR(Output!$E$23=0,Output!$E$23=""),0,Output!$E$23*VLOOKUP($L21,$AR$8:$AS$20,2,FALSE)),""))),IF($W$2="Light RCS",IF(P$12=1,IF(OR('Light RCS'!$C$23=0,'Light RCS'!$C$23=""),0,'Light RCS'!$C$23*VLOOKUP($L21,$AR$8:$AS$20,2,FALSE)),IF(P$12=2,IF(OR('Light RCS'!$D$23=0,'Light RCS'!$D$23=""),0,'Light RCS'!$D$23*VLOOKUP($L21,$AR$8:$AS$20,2,FALSE)),IF(P$12=3,IF(OR('Light RCS'!$E$23=0,'Light RCS'!$E$23=""),0,'Light RCS'!$E$23*VLOOKUP($L21,$AR$8:$AS$20,2,FALSE)),""))),"Data Input")))</f>
        <v/>
      </c>
      <c r="Q21" s="367" t="str">
        <f>IF($W$2="Manual",IF(AB21=0,0,AB21*VLOOKUP($L21,$AR$8:$AS$20,2,FALSE)),IF($W$2="From Preselector",IF(Q$12=1,IF(OR(Output!$C$23=0,Output!$C$23=""),0,Output!$C$23*VLOOKUP($L21,$AR$8:$AS$20,2,FALSE)),IF(Q$12=2,IF(OR(Output!$D$23=0,Output!$D$23=""),0,Output!$D$23*VLOOKUP($L21,$AR$8:$AS$20,2,FALSE)),IF(Q$12=3,IF(OR(Output!$E$23=0,Output!$E$23=""),0,Output!$E$23*VLOOKUP($L21,$AR$8:$AS$20,2,FALSE)),""))),IF($W$2="Light RCS",IF(Q$12=1,IF(OR('Light RCS'!$C$23=0,'Light RCS'!$C$23=""),0,'Light RCS'!$C$23*VLOOKUP($L21,$AR$8:$AS$20,2,FALSE)),IF(Q$12=2,IF(OR('Light RCS'!$D$23=0,'Light RCS'!$D$23=""),0,'Light RCS'!$D$23*VLOOKUP($L21,$AR$8:$AS$20,2,FALSE)),IF(Q$12=3,IF(OR('Light RCS'!$E$23=0,'Light RCS'!$E$23=""),0,'Light RCS'!$E$23*VLOOKUP($L21,$AR$8:$AS$20,2,FALSE)),""))),"Data Input")))</f>
        <v/>
      </c>
      <c r="R21" s="367" t="str">
        <f>IF($W$2="Manual",IF(AC21=0,0,AC21*VLOOKUP($L21,$AR$8:$AS$20,2,FALSE)),IF($W$2="From Preselector",IF(R$12=1,IF(OR(Output!$C$23=0,Output!$C$23=""),0,Output!$C$23*VLOOKUP($L21,$AR$8:$AS$20,2,FALSE)),IF(R$12=2,IF(OR(Output!$D$23=0,Output!$D$23=""),0,Output!$D$23*VLOOKUP($L21,$AR$8:$AS$20,2,FALSE)),IF(R$12=3,IF(OR(Output!$E$23=0,Output!$E$23=""),0,Output!$E$23*VLOOKUP($L21,$AR$8:$AS$20,2,FALSE)),""))),IF($W$2="Light RCS",IF(R$12=1,IF(OR('Light RCS'!$C$23=0,'Light RCS'!$C$23=""),0,'Light RCS'!$C$23*VLOOKUP($L21,$AR$8:$AS$20,2,FALSE)),IF(R$12=2,IF(OR('Light RCS'!$D$23=0,'Light RCS'!$D$23=""),0,'Light RCS'!$D$23*VLOOKUP($L21,$AR$8:$AS$20,2,FALSE)),IF(R$12=3,IF(OR('Light RCS'!$E$23=0,'Light RCS'!$E$23=""),0,'Light RCS'!$E$23*VLOOKUP($L21,$AR$8:$AS$20,2,FALSE)),""))),"Data Input")))</f>
        <v/>
      </c>
      <c r="S21" s="367" t="str">
        <f>IF($W$2="Manual",IF(AD21=0,0,AD21*VLOOKUP($L21,$AR$8:$AS$20,2,FALSE)),IF($W$2="From Preselector",IF(S$12=1,IF(OR(Output!$C$23=0,Output!$C$23=""),0,Output!$C$23*VLOOKUP($L21,$AR$8:$AS$20,2,FALSE)),IF(S$12=2,IF(OR(Output!$D$23=0,Output!$D$23=""),0,Output!$D$23*VLOOKUP($L21,$AR$8:$AS$20,2,FALSE)),IF(S$12=3,IF(OR(Output!$E$23=0,Output!$E$23=""),0,Output!$E$23*VLOOKUP($L21,$AR$8:$AS$20,2,FALSE)),""))),IF($W$2="Light RCS",IF(S$12=1,IF(OR('Light RCS'!$C$23=0,'Light RCS'!$C$23=""),0,'Light RCS'!$C$23*VLOOKUP($L21,$AR$8:$AS$20,2,FALSE)),IF(S$12=2,IF(OR('Light RCS'!$D$23=0,'Light RCS'!$D$23=""),0,'Light RCS'!$D$23*VLOOKUP($L21,$AR$8:$AS$20,2,FALSE)),IF(S$12=3,IF(OR('Light RCS'!$E$23=0,'Light RCS'!$E$23=""),0,'Light RCS'!$E$23*VLOOKUP($L21,$AR$8:$AS$20,2,FALSE)),""))),"Data Input")))</f>
        <v/>
      </c>
      <c r="T21" s="367" t="str">
        <f>IF($W$2="Manual",IF(AE21=0,0,AE21*VLOOKUP($L21,$AR$8:$AS$20,2,FALSE)),IF($W$2="From Preselector",IF(T$12=1,IF(OR(Output!$C$23=0,Output!$C$23=""),0,Output!$C$23*VLOOKUP($L21,$AR$8:$AS$20,2,FALSE)),IF(T$12=2,IF(OR(Output!$D$23=0,Output!$D$23=""),0,Output!$D$23*VLOOKUP($L21,$AR$8:$AS$20,2,FALSE)),IF(T$12=3,IF(OR(Output!$E$23=0,Output!$E$23=""),0,Output!$E$23*VLOOKUP($L21,$AR$8:$AS$20,2,FALSE)),""))),IF($W$2="Light RCS",IF(T$12=1,IF(OR('Light RCS'!$C$23=0,'Light RCS'!$C$23=""),0,'Light RCS'!$C$23*VLOOKUP($L21,$AR$8:$AS$20,2,FALSE)),IF(T$12=2,IF(OR('Light RCS'!$D$23=0,'Light RCS'!$D$23=""),0,'Light RCS'!$D$23*VLOOKUP($L21,$AR$8:$AS$20,2,FALSE)),IF(T$12=3,IF(OR('Light RCS'!$E$23=0,'Light RCS'!$E$23=""),0,'Light RCS'!$E$23*VLOOKUP($L21,$AR$8:$AS$20,2,FALSE)),""))),"Data Input")))</f>
        <v/>
      </c>
      <c r="U21" s="368" t="str">
        <f>IF($W$2="Manual",IF(AF21=0,0,AF21*VLOOKUP($L21,$AR$8:$AS$20,2,FALSE)),IF($W$2="From Preselector",IF(U$12=1,IF(OR(Output!$C$23=0,Output!$C$23=""),0,Output!$C$23*VLOOKUP($L21,$AR$8:$AS$20,2,FALSE)),IF(U$12=2,IF(OR(Output!$D$23=0,Output!$D$23=""),0,Output!$D$23*VLOOKUP($L21,$AR$8:$AS$20,2,FALSE)),IF(U$12=3,IF(OR(Output!$E$23=0,Output!$E$23=""),0,Output!$E$23*VLOOKUP($L21,$AR$8:$AS$20,2,FALSE)),""))),IF($W$2="Light RCS",IF(U$12=1,IF(OR('Light RCS'!$C$23=0,'Light RCS'!$C$23=""),0,'Light RCS'!$C$23*VLOOKUP($L21,$AR$8:$AS$20,2,FALSE)),IF(U$12=2,IF(OR('Light RCS'!$D$23=0,'Light RCS'!$D$23=""),0,'Light RCS'!$D$23*VLOOKUP($L21,$AR$8:$AS$20,2,FALSE)),IF(U$12=3,IF(OR('Light RCS'!$E$23=0,'Light RCS'!$E$23=""),0,'Light RCS'!$E$23*VLOOKUP($L21,$AR$8:$AS$20,2,FALSE)),""))),"Data Input")))</f>
        <v/>
      </c>
      <c r="V21" s="303"/>
      <c r="W21" s="359" t="s">
        <v>620</v>
      </c>
      <c r="X21" s="369"/>
      <c r="Y21" s="369"/>
      <c r="Z21" s="369"/>
      <c r="AA21" s="369"/>
      <c r="AB21" s="369"/>
      <c r="AC21" s="373"/>
      <c r="AD21" s="373"/>
      <c r="AE21" s="373"/>
      <c r="AF21" s="370"/>
    </row>
    <row r="22" spans="1:55">
      <c r="A22" s="318">
        <f t="shared" si="0"/>
        <v>16</v>
      </c>
      <c r="B22" s="319"/>
      <c r="C22" s="309"/>
      <c r="D22" s="309"/>
      <c r="E22" s="309"/>
      <c r="F22" s="309"/>
      <c r="G22" s="309"/>
      <c r="H22" s="309"/>
      <c r="I22" s="334"/>
      <c r="J22" s="334"/>
      <c r="K22" s="334"/>
      <c r="L22" s="356" t="s">
        <v>57</v>
      </c>
      <c r="M22" s="367">
        <f>IF($W$2="Manual",IF(X22=0,0,X22*VLOOKUP($L22,$AT$8:$AU$20,2,FALSE)),IF($W$2="From Preselector",IF(M$12=1,IF(OR(Output!$C$22=0,Output!$C$22=""),0,Output!$C$22*VLOOKUP($L22,$AT$8:$AU$20,2,FALSE)),IF(M$12=2,IF(OR(Output!$D$22=0,Output!$D$22=""),0,Output!$D$22*VLOOKUP($L22,$AT$8:$AU$20,2,FALSE)),IF(M$12=3,IF(OR(Output!$E$22=0,Output!$E$22=""),0,Output!$E$22*VLOOKUP($L22,$AT$8:$AU$20,2,FALSE)),""))),IF($W$2="Light RCS",IF(M$12=1,IF(OR('Light RCS'!$C$22=0,'Light RCS'!$C$22=""),0,'Light RCS'!$C$22*VLOOKUP($L22,$AT$8:$AU$20,2,FALSE)),IF(M$12=2,IF(OR('Light RCS'!$D$22=0,'Light RCS'!$D$22=""),0,'Light RCS'!$D$22*VLOOKUP($L22,$AT$8:$AU$20,2,FALSE)),IF(M$12=3,IF(OR('Light RCS'!$E$22=0,'Light RCS'!$E$22=""),0,'Light RCS'!$E$22*VLOOKUP($L22,$AT$8:$AU$20,2,FALSE)),""))),"Data Input")))</f>
        <v>5730.93</v>
      </c>
      <c r="N22" s="367">
        <f>IF($W$2="Manual",IF(Y22=0,0,Y22*VLOOKUP($L22,$AT$8:$AU$20,2,FALSE)),IF($W$2="From Preselector",IF(N$12=1,IF(OR(Output!$C$22=0,Output!$C$22=""),0,Output!$C$22*VLOOKUP($L22,$AT$8:$AU$20,2,FALSE)),IF(N$12=2,IF(OR(Output!$D$22=0,Output!$D$22=""),0,Output!$D$22*VLOOKUP($L22,$AT$8:$AU$20,2,FALSE)),IF(N$12=3,IF(OR(Output!$E$22=0,Output!$E$22=""),0,Output!$E$22*VLOOKUP($L22,$AT$8:$AU$20,2,FALSE)),""))),IF($W$2="Light RCS",IF(N$12=1,IF(OR('Light RCS'!$C$22=0,'Light RCS'!$C$22=""),0,'Light RCS'!$C$22*VLOOKUP($L22,$AT$8:$AU$20,2,FALSE)),IF(N$12=2,IF(OR('Light RCS'!$D$22=0,'Light RCS'!$D$22=""),0,'Light RCS'!$D$22*VLOOKUP($L22,$AT$8:$AU$20,2,FALSE)),IF(N$12=3,IF(OR('Light RCS'!$E$22=0,'Light RCS'!$E$22=""),0,'Light RCS'!$E$22*VLOOKUP($L22,$AT$8:$AU$20,2,FALSE)),""))),"Data Input")))</f>
        <v>5730.93</v>
      </c>
      <c r="O22" s="367" t="str">
        <f>IF($W$2="Manual",IF(Z22=0,0,Z22*VLOOKUP($L22,$AT$8:$AU$20,2,FALSE)),IF($W$2="From Preselector",IF(O$12=1,IF(OR(Output!$C$22=0,Output!$C$22=""),0,Output!$C$22*VLOOKUP($L22,$AT$8:$AU$20,2,FALSE)),IF(O$12=2,IF(OR(Output!$D$22=0,Output!$D$22=""),0,Output!$D$22*VLOOKUP($L22,$AT$8:$AU$20,2,FALSE)),IF(O$12=3,IF(OR(Output!$E$22=0,Output!$E$22=""),0,Output!$E$22*VLOOKUP($L22,$AT$8:$AU$20,2,FALSE)),""))),IF($W$2="Light RCS",IF(O$12=1,IF(OR('Light RCS'!$C$22=0,'Light RCS'!$C$22=""),0,'Light RCS'!$C$22*VLOOKUP($L22,$AT$8:$AU$20,2,FALSE)),IF(O$12=2,IF(OR('Light RCS'!$D$22=0,'Light RCS'!$D$22=""),0,'Light RCS'!$D$22*VLOOKUP($L22,$AT$8:$AU$20,2,FALSE)),IF(O$12=3,IF(OR('Light RCS'!$E$22=0,'Light RCS'!$E$22=""),0,'Light RCS'!$E$22*VLOOKUP($L22,$AT$8:$AU$20,2,FALSE)),""))),"Data Input")))</f>
        <v/>
      </c>
      <c r="P22" s="367" t="str">
        <f>IF($W$2="Manual",IF(AA22=0,0,AA22*VLOOKUP($L22,$AT$8:$AU$20,2,FALSE)),IF($W$2="From Preselector",IF(P$12=1,IF(OR(Output!$C$22=0,Output!$C$22=""),0,Output!$C$22*VLOOKUP($L22,$AT$8:$AU$20,2,FALSE)),IF(P$12=2,IF(OR(Output!$D$22=0,Output!$D$22=""),0,Output!$D$22*VLOOKUP($L22,$AT$8:$AU$20,2,FALSE)),IF(P$12=3,IF(OR(Output!$E$22=0,Output!$E$22=""),0,Output!$E$22*VLOOKUP($L22,$AT$8:$AU$20,2,FALSE)),""))),IF($W$2="Light RCS",IF(P$12=1,IF(OR('Light RCS'!$C$22=0,'Light RCS'!$C$22=""),0,'Light RCS'!$C$22*VLOOKUP($L22,$AT$8:$AU$20,2,FALSE)),IF(P$12=2,IF(OR('Light RCS'!$D$22=0,'Light RCS'!$D$22=""),0,'Light RCS'!$D$22*VLOOKUP($L22,$AT$8:$AU$20,2,FALSE)),IF(P$12=3,IF(OR('Light RCS'!$E$22=0,'Light RCS'!$E$22=""),0,'Light RCS'!$E$22*VLOOKUP($L22,$AT$8:$AU$20,2,FALSE)),""))),"Data Input")))</f>
        <v/>
      </c>
      <c r="Q22" s="367" t="str">
        <f>IF($W$2="Manual",IF(AB22=0,0,AB22*VLOOKUP($L22,$AT$8:$AU$20,2,FALSE)),IF($W$2="From Preselector",IF(Q$12=1,IF(OR(Output!$C$22=0,Output!$C$22=""),0,Output!$C$22*VLOOKUP($L22,$AT$8:$AU$20,2,FALSE)),IF(Q$12=2,IF(OR(Output!$D$22=0,Output!$D$22=""),0,Output!$D$22*VLOOKUP($L22,$AT$8:$AU$20,2,FALSE)),IF(Q$12=3,IF(OR(Output!$E$22=0,Output!$E$22=""),0,Output!$E$22*VLOOKUP($L22,$AT$8:$AU$20,2,FALSE)),""))),IF($W$2="Light RCS",IF(Q$12=1,IF(OR('Light RCS'!$C$22=0,'Light RCS'!$C$22=""),0,'Light RCS'!$C$22*VLOOKUP($L22,$AT$8:$AU$20,2,FALSE)),IF(Q$12=2,IF(OR('Light RCS'!$D$22=0,'Light RCS'!$D$22=""),0,'Light RCS'!$D$22*VLOOKUP($L22,$AT$8:$AU$20,2,FALSE)),IF(Q$12=3,IF(OR('Light RCS'!$E$22=0,'Light RCS'!$E$22=""),0,'Light RCS'!$E$22*VLOOKUP($L22,$AT$8:$AU$20,2,FALSE)),""))),"Data Input")))</f>
        <v/>
      </c>
      <c r="R22" s="367" t="str">
        <f>IF($W$2="Manual",IF(AC22=0,0,AC22*VLOOKUP($L22,$AT$8:$AU$20,2,FALSE)),IF($W$2="From Preselector",IF(R$12=1,IF(OR(Output!$C$22=0,Output!$C$22=""),0,Output!$C$22*VLOOKUP($L22,$AT$8:$AU$20,2,FALSE)),IF(R$12=2,IF(OR(Output!$D$22=0,Output!$D$22=""),0,Output!$D$22*VLOOKUP($L22,$AT$8:$AU$20,2,FALSE)),IF(R$12=3,IF(OR(Output!$E$22=0,Output!$E$22=""),0,Output!$E$22*VLOOKUP($L22,$AT$8:$AU$20,2,FALSE)),""))),IF($W$2="Light RCS",IF(R$12=1,IF(OR('Light RCS'!$C$22=0,'Light RCS'!$C$22=""),0,'Light RCS'!$C$22*VLOOKUP($L22,$AT$8:$AU$20,2,FALSE)),IF(R$12=2,IF(OR('Light RCS'!$D$22=0,'Light RCS'!$D$22=""),0,'Light RCS'!$D$22*VLOOKUP($L22,$AT$8:$AU$20,2,FALSE)),IF(R$12=3,IF(OR('Light RCS'!$E$22=0,'Light RCS'!$E$22=""),0,'Light RCS'!$E$22*VLOOKUP($L22,$AT$8:$AU$20,2,FALSE)),""))),"Data Input")))</f>
        <v/>
      </c>
      <c r="S22" s="367" t="str">
        <f>IF($W$2="Manual",IF(AD22=0,0,AD22*VLOOKUP($L22,$AT$8:$AU$20,2,FALSE)),IF($W$2="From Preselector",IF(S$12=1,IF(OR(Output!$C$22=0,Output!$C$22=""),0,Output!$C$22*VLOOKUP($L22,$AT$8:$AU$20,2,FALSE)),IF(S$12=2,IF(OR(Output!$D$22=0,Output!$D$22=""),0,Output!$D$22*VLOOKUP($L22,$AT$8:$AU$20,2,FALSE)),IF(S$12=3,IF(OR(Output!$E$22=0,Output!$E$22=""),0,Output!$E$22*VLOOKUP($L22,$AT$8:$AU$20,2,FALSE)),""))),IF($W$2="Light RCS",IF(S$12=1,IF(OR('Light RCS'!$C$22=0,'Light RCS'!$C$22=""),0,'Light RCS'!$C$22*VLOOKUP($L22,$AT$8:$AU$20,2,FALSE)),IF(S$12=2,IF(OR('Light RCS'!$D$22=0,'Light RCS'!$D$22=""),0,'Light RCS'!$D$22*VLOOKUP($L22,$AT$8:$AU$20,2,FALSE)),IF(S$12=3,IF(OR('Light RCS'!$E$22=0,'Light RCS'!$E$22=""),0,'Light RCS'!$E$22*VLOOKUP($L22,$AT$8:$AU$20,2,FALSE)),""))),"Data Input")))</f>
        <v/>
      </c>
      <c r="T22" s="367" t="str">
        <f>IF($W$2="Manual",IF(AE22=0,0,AE22*VLOOKUP($L22,$AT$8:$AU$20,2,FALSE)),IF($W$2="From Preselector",IF(T$12=1,IF(OR(Output!$C$22=0,Output!$C$22=""),0,Output!$C$22*VLOOKUP($L22,$AT$8:$AU$20,2,FALSE)),IF(T$12=2,IF(OR(Output!$D$22=0,Output!$D$22=""),0,Output!$D$22*VLOOKUP($L22,$AT$8:$AU$20,2,FALSE)),IF(T$12=3,IF(OR(Output!$E$22=0,Output!$E$22=""),0,Output!$E$22*VLOOKUP($L22,$AT$8:$AU$20,2,FALSE)),""))),IF($W$2="Light RCS",IF(T$12=1,IF(OR('Light RCS'!$C$22=0,'Light RCS'!$C$22=""),0,'Light RCS'!$C$22*VLOOKUP($L22,$AT$8:$AU$20,2,FALSE)),IF(T$12=2,IF(OR('Light RCS'!$D$22=0,'Light RCS'!$D$22=""),0,'Light RCS'!$D$22*VLOOKUP($L22,$AT$8:$AU$20,2,FALSE)),IF(T$12=3,IF(OR('Light RCS'!$E$22=0,'Light RCS'!$E$22=""),0,'Light RCS'!$E$22*VLOOKUP($L22,$AT$8:$AU$20,2,FALSE)),""))),"Data Input")))</f>
        <v/>
      </c>
      <c r="U22" s="368" t="str">
        <f>IF($W$2="Manual",IF(AF22=0,0,AF22*VLOOKUP($L22,$AT$8:$AU$20,2,FALSE)),IF($W$2="From Preselector",IF(U$12=1,IF(OR(Output!$C$22=0,Output!$C$22=""),0,Output!$C$22*VLOOKUP($L22,$AT$8:$AU$20,2,FALSE)),IF(U$12=2,IF(OR(Output!$D$22=0,Output!$D$22=""),0,Output!$D$22*VLOOKUP($L22,$AT$8:$AU$20,2,FALSE)),IF(U$12=3,IF(OR(Output!$E$22=0,Output!$E$22=""),0,Output!$E$22*VLOOKUP($L22,$AT$8:$AU$20,2,FALSE)),""))),IF($W$2="Light RCS",IF(U$12=1,IF(OR('Light RCS'!$C$22=0,'Light RCS'!$C$22=""),0,'Light RCS'!$C$22*VLOOKUP($L22,$AT$8:$AU$20,2,FALSE)),IF(U$12=2,IF(OR('Light RCS'!$D$22=0,'Light RCS'!$D$22=""),0,'Light RCS'!$D$22*VLOOKUP($L22,$AT$8:$AU$20,2,FALSE)),IF(U$12=3,IF(OR('Light RCS'!$E$22=0,'Light RCS'!$E$22=""),0,'Light RCS'!$E$22*VLOOKUP($L22,$AT$8:$AU$20,2,FALSE)),""))),"Data Input")))</f>
        <v/>
      </c>
      <c r="V22" s="303"/>
      <c r="W22" s="359" t="s">
        <v>621</v>
      </c>
      <c r="X22" s="369"/>
      <c r="Y22" s="371"/>
      <c r="Z22" s="371"/>
      <c r="AA22" s="371"/>
      <c r="AB22" s="371"/>
      <c r="AC22" s="430"/>
      <c r="AD22" s="430"/>
      <c r="AE22" s="430"/>
      <c r="AF22" s="372"/>
    </row>
    <row r="23" spans="1:55">
      <c r="A23" s="318">
        <f t="shared" si="0"/>
        <v>17</v>
      </c>
      <c r="B23" s="319"/>
      <c r="C23" s="309" t="s">
        <v>415</v>
      </c>
      <c r="D23" s="309"/>
      <c r="E23" s="309"/>
      <c r="F23" s="309"/>
      <c r="G23" s="309"/>
      <c r="H23" s="309"/>
      <c r="I23" s="334"/>
      <c r="J23" s="309"/>
      <c r="K23" s="334"/>
      <c r="L23" s="356" t="s">
        <v>384</v>
      </c>
      <c r="M23" s="367">
        <f>IF($W$2="Manual",IF(X23=0,0,X23*VLOOKUP($L23,$AX$8:$AY$20,2,FALSE)),IF($W$2="From Preselector",IF(OR(Output!B18=0,Output!B18=""),0,Output!B18*VLOOKUP($L23,$AX$8:$AY$20,2,FALSE)),IF($W$2="Light RCS",IF(OR('Light RCS'!B18=0,'Light RCS'!B18=""),0,'Light RCS'!B18*VLOOKUP($L23,$AX$8:$AY$20,2,FALSE)),"Data Input")))</f>
        <v>452</v>
      </c>
      <c r="N23" s="367" t="str">
        <f>IF(N$12=0,"","----&gt;")</f>
        <v>----&gt;</v>
      </c>
      <c r="O23" s="367" t="str">
        <f t="shared" ref="O23:U25" si="2">IF(O$12=0,"","----&gt;")</f>
        <v/>
      </c>
      <c r="P23" s="367" t="str">
        <f t="shared" si="2"/>
        <v/>
      </c>
      <c r="Q23" s="367" t="str">
        <f t="shared" si="2"/>
        <v/>
      </c>
      <c r="R23" s="367" t="str">
        <f t="shared" si="2"/>
        <v/>
      </c>
      <c r="S23" s="367" t="str">
        <f t="shared" si="2"/>
        <v/>
      </c>
      <c r="T23" s="367" t="str">
        <f t="shared" si="2"/>
        <v/>
      </c>
      <c r="U23" s="368" t="str">
        <f t="shared" si="2"/>
        <v/>
      </c>
      <c r="V23" s="303"/>
      <c r="W23" s="359" t="s">
        <v>622</v>
      </c>
      <c r="X23" s="373"/>
      <c r="Y23" s="374"/>
      <c r="Z23" s="374"/>
      <c r="AA23" s="374"/>
      <c r="AB23" s="374"/>
      <c r="AC23" s="431"/>
      <c r="AD23" s="431"/>
      <c r="AE23" s="431"/>
      <c r="AF23" s="375"/>
      <c r="AH23" s="177" t="s">
        <v>631</v>
      </c>
      <c r="AI23" s="177"/>
    </row>
    <row r="24" spans="1:55" ht="13" thickBot="1">
      <c r="A24" s="318">
        <f t="shared" si="0"/>
        <v>18</v>
      </c>
      <c r="B24" s="319"/>
      <c r="C24" s="309" t="s">
        <v>416</v>
      </c>
      <c r="D24" s="309"/>
      <c r="E24" s="309"/>
      <c r="F24" s="309"/>
      <c r="G24" s="309"/>
      <c r="H24" s="309"/>
      <c r="I24" s="334"/>
      <c r="J24" s="309"/>
      <c r="K24" s="334"/>
      <c r="L24" s="364" t="s">
        <v>417</v>
      </c>
      <c r="M24" s="361">
        <f>IF($W$2="Manual",X24,IF($W$2="From Preselector",Output!E15,IF($W$2="Light RCS",'Light RCS'!E15,"Data Input")))</f>
        <v>327</v>
      </c>
      <c r="N24" s="367" t="str">
        <f>IF(N$12=0,"","----&gt;")</f>
        <v>----&gt;</v>
      </c>
      <c r="O24" s="367" t="str">
        <f t="shared" si="2"/>
        <v/>
      </c>
      <c r="P24" s="367" t="str">
        <f t="shared" si="2"/>
        <v/>
      </c>
      <c r="Q24" s="367" t="str">
        <f t="shared" si="2"/>
        <v/>
      </c>
      <c r="R24" s="367" t="str">
        <f t="shared" si="2"/>
        <v/>
      </c>
      <c r="S24" s="367" t="str">
        <f t="shared" si="2"/>
        <v/>
      </c>
      <c r="T24" s="367" t="str">
        <f t="shared" si="2"/>
        <v/>
      </c>
      <c r="U24" s="368" t="str">
        <f t="shared" si="2"/>
        <v/>
      </c>
      <c r="V24" s="303"/>
      <c r="W24" s="376" t="s">
        <v>417</v>
      </c>
      <c r="X24" s="377"/>
      <c r="Y24" s="378"/>
      <c r="Z24" s="378"/>
      <c r="AA24" s="378"/>
      <c r="AB24" s="378"/>
      <c r="AC24" s="432"/>
      <c r="AD24" s="432"/>
      <c r="AE24" s="432"/>
      <c r="AF24" s="379"/>
      <c r="AH24" s="177" t="s">
        <v>564</v>
      </c>
      <c r="AI24" s="177">
        <v>3</v>
      </c>
      <c r="AL24" s="305">
        <v>3</v>
      </c>
    </row>
    <row r="25" spans="1:55" ht="13" thickTop="1">
      <c r="A25" s="318">
        <f t="shared" si="0"/>
        <v>19</v>
      </c>
      <c r="B25" s="319"/>
      <c r="C25" s="309" t="s">
        <v>418</v>
      </c>
      <c r="D25" s="309"/>
      <c r="E25" s="309"/>
      <c r="F25" s="309"/>
      <c r="G25" s="309"/>
      <c r="H25" s="309"/>
      <c r="I25" s="334"/>
      <c r="J25" s="309"/>
      <c r="K25" s="334"/>
      <c r="L25" s="364" t="str">
        <f>L23</f>
        <v>kW</v>
      </c>
      <c r="M25" s="367">
        <f>IF(MROUND(MAX(M23:R23)*1.12,50)&gt;=ROUNDUP(MAX(M23:R23)*1.12,-1),MROUND(MAX(M23:R23)*1.12,50),MROUND(MAX(M23:R23)*1.12,50)+50)</f>
        <v>550</v>
      </c>
      <c r="N25" s="367" t="str">
        <f>IF(N$12=0,"","----&gt;")</f>
        <v>----&gt;</v>
      </c>
      <c r="O25" s="367" t="str">
        <f t="shared" si="2"/>
        <v/>
      </c>
      <c r="P25" s="367" t="str">
        <f t="shared" si="2"/>
        <v/>
      </c>
      <c r="Q25" s="367" t="str">
        <f t="shared" si="2"/>
        <v/>
      </c>
      <c r="R25" s="367" t="str">
        <f t="shared" si="2"/>
        <v/>
      </c>
      <c r="S25" s="367" t="str">
        <f t="shared" si="2"/>
        <v/>
      </c>
      <c r="T25" s="367" t="str">
        <f t="shared" si="2"/>
        <v/>
      </c>
      <c r="U25" s="368" t="str">
        <f t="shared" si="2"/>
        <v/>
      </c>
      <c r="V25" s="303"/>
      <c r="W25" s="320"/>
      <c r="X25" s="320"/>
      <c r="Y25" s="320"/>
      <c r="Z25" s="320"/>
      <c r="AA25" s="320"/>
      <c r="AB25" s="320"/>
      <c r="AC25" s="320"/>
      <c r="AD25" s="320"/>
      <c r="AE25" s="320"/>
      <c r="AH25" s="177" t="s">
        <v>633</v>
      </c>
      <c r="AI25" s="177"/>
    </row>
    <row r="26" spans="1:55">
      <c r="A26" s="318">
        <f t="shared" si="0"/>
        <v>20</v>
      </c>
      <c r="B26" s="319"/>
      <c r="C26" s="309"/>
      <c r="D26" s="309"/>
      <c r="E26" s="309"/>
      <c r="F26" s="309"/>
      <c r="G26" s="309"/>
      <c r="H26" s="309"/>
      <c r="I26" s="334"/>
      <c r="J26" s="309"/>
      <c r="K26" s="309"/>
      <c r="L26" s="334"/>
      <c r="M26" s="309"/>
      <c r="N26" s="309"/>
      <c r="O26" s="309"/>
      <c r="P26" s="309"/>
      <c r="Q26" s="309"/>
      <c r="R26" s="309"/>
      <c r="S26" s="272"/>
      <c r="T26" s="272"/>
      <c r="U26" s="520"/>
      <c r="V26" s="303"/>
      <c r="W26" s="320"/>
      <c r="X26" s="320"/>
      <c r="Y26" s="320"/>
      <c r="Z26" s="320"/>
      <c r="AA26" s="320"/>
      <c r="AB26" s="320"/>
      <c r="AC26" s="320"/>
      <c r="AD26" s="320"/>
      <c r="AE26" s="320"/>
      <c r="AH26" s="177" t="s">
        <v>632</v>
      </c>
      <c r="AI26" s="177"/>
    </row>
    <row r="27" spans="1:55">
      <c r="A27" s="318">
        <f t="shared" si="0"/>
        <v>21</v>
      </c>
      <c r="B27" s="319"/>
      <c r="C27" s="827" t="str">
        <f>IF($W$7="YES","(*) MFR Capacity=Required Capacity/0,97 as per API 618  (on suction side dry basis)",IF($W$7="NO","(*) Capacity on suction side dry basis","Fill NNT requirement"))</f>
        <v>(*) MFR Capacity=Required Capacity/0,97 as per API 618  (on suction side dry basis)</v>
      </c>
      <c r="D27" s="828"/>
      <c r="E27" s="828"/>
      <c r="F27" s="828"/>
      <c r="G27" s="828"/>
      <c r="H27" s="828"/>
      <c r="I27" s="828"/>
      <c r="J27" s="828"/>
      <c r="K27" s="828"/>
      <c r="L27" s="828"/>
      <c r="M27" s="828"/>
      <c r="N27" s="828"/>
      <c r="O27" s="828"/>
      <c r="P27" s="828"/>
      <c r="Q27" s="828"/>
      <c r="R27" s="828"/>
      <c r="S27" s="828"/>
      <c r="T27" s="828"/>
      <c r="U27" s="829"/>
      <c r="V27" s="303"/>
      <c r="W27" s="320"/>
      <c r="X27" s="320"/>
      <c r="Y27" s="320"/>
      <c r="Z27" s="320"/>
      <c r="AA27" s="320"/>
      <c r="AB27" s="320"/>
      <c r="AC27" s="320"/>
      <c r="AD27" s="320"/>
      <c r="AE27" s="320"/>
      <c r="AH27" s="177" t="s">
        <v>782</v>
      </c>
      <c r="AI27" s="177"/>
    </row>
    <row r="28" spans="1:55">
      <c r="A28" s="318">
        <f t="shared" si="0"/>
        <v>22</v>
      </c>
      <c r="B28" s="319"/>
      <c r="C28" s="309"/>
      <c r="D28" s="309"/>
      <c r="E28" s="309"/>
      <c r="F28" s="309"/>
      <c r="G28" s="309"/>
      <c r="H28" s="309"/>
      <c r="I28" s="309"/>
      <c r="J28" s="309"/>
      <c r="K28" s="380"/>
      <c r="L28" s="309"/>
      <c r="M28" s="380"/>
      <c r="N28" s="380"/>
      <c r="O28" s="380"/>
      <c r="P28" s="380"/>
      <c r="Q28" s="380"/>
      <c r="R28" s="380"/>
      <c r="S28" s="276"/>
      <c r="T28" s="276"/>
      <c r="U28" s="277"/>
      <c r="V28" s="303"/>
      <c r="W28" s="320"/>
      <c r="X28" s="320"/>
      <c r="Y28" s="320"/>
      <c r="Z28" s="320"/>
      <c r="AA28" s="320"/>
      <c r="AB28" s="320"/>
      <c r="AC28" s="320"/>
      <c r="AD28" s="320"/>
      <c r="AE28" s="320"/>
      <c r="AH28" s="177" t="s">
        <v>783</v>
      </c>
      <c r="AI28" s="177"/>
    </row>
    <row r="29" spans="1:55">
      <c r="A29" s="315">
        <f t="shared" si="0"/>
        <v>23</v>
      </c>
      <c r="B29" s="381"/>
      <c r="C29" s="382"/>
      <c r="D29" s="383" t="s">
        <v>419</v>
      </c>
      <c r="E29" s="382"/>
      <c r="F29" s="382"/>
      <c r="G29" s="382"/>
      <c r="H29" s="382"/>
      <c r="I29" s="382"/>
      <c r="J29" s="382"/>
      <c r="K29" s="382"/>
      <c r="L29" s="382"/>
      <c r="M29" s="382"/>
      <c r="N29" s="382"/>
      <c r="O29" s="382"/>
      <c r="P29" s="382"/>
      <c r="Q29" s="382"/>
      <c r="R29" s="382"/>
      <c r="S29" s="273"/>
      <c r="T29" s="273"/>
      <c r="U29" s="511"/>
      <c r="V29" s="303"/>
      <c r="W29" s="320"/>
      <c r="X29" s="320"/>
      <c r="Y29" s="320"/>
      <c r="Z29" s="320"/>
      <c r="AA29" s="320"/>
      <c r="AB29" s="320"/>
      <c r="AC29" s="320"/>
      <c r="AD29" s="320"/>
      <c r="AE29" s="320"/>
    </row>
    <row r="30" spans="1:55" ht="13" thickBot="1">
      <c r="A30" s="318">
        <f t="shared" si="0"/>
        <v>24</v>
      </c>
      <c r="B30" s="319"/>
      <c r="C30" s="309" t="s">
        <v>623</v>
      </c>
      <c r="D30" s="309"/>
      <c r="E30" s="309"/>
      <c r="F30" s="309"/>
      <c r="G30" s="309"/>
      <c r="H30" s="309"/>
      <c r="I30" s="309"/>
      <c r="J30" s="309"/>
      <c r="K30" s="309"/>
      <c r="L30" s="384"/>
      <c r="M30" s="385" t="str">
        <f t="shared" ref="M30:U30" si="3">IFERROR(IF(VALUE(M12)=0,"",M12&amp;" / "&amp;M14),0)</f>
        <v>1 / 1</v>
      </c>
      <c r="N30" s="385" t="str">
        <f t="shared" si="3"/>
        <v>1 / 2</v>
      </c>
      <c r="O30" s="385" t="str">
        <f t="shared" si="3"/>
        <v/>
      </c>
      <c r="P30" s="385" t="str">
        <f t="shared" si="3"/>
        <v/>
      </c>
      <c r="Q30" s="385" t="str">
        <f t="shared" si="3"/>
        <v/>
      </c>
      <c r="R30" s="385" t="str">
        <f t="shared" si="3"/>
        <v/>
      </c>
      <c r="S30" s="385" t="str">
        <f t="shared" si="3"/>
        <v/>
      </c>
      <c r="T30" s="385" t="str">
        <f t="shared" si="3"/>
        <v/>
      </c>
      <c r="U30" s="386" t="str">
        <f t="shared" si="3"/>
        <v/>
      </c>
      <c r="V30" s="303"/>
      <c r="W30" s="320"/>
      <c r="X30" s="320"/>
      <c r="Y30" s="320"/>
      <c r="Z30" s="320"/>
      <c r="AA30" s="320"/>
      <c r="AB30" s="320"/>
      <c r="AC30" s="320"/>
      <c r="AD30" s="320"/>
      <c r="AE30" s="320"/>
    </row>
    <row r="31" spans="1:55" ht="13.5" thickTop="1" thickBot="1">
      <c r="A31" s="318">
        <f t="shared" si="0"/>
        <v>25</v>
      </c>
      <c r="B31" s="319"/>
      <c r="C31" s="309" t="s">
        <v>420</v>
      </c>
      <c r="D31" s="309"/>
      <c r="E31" s="309"/>
      <c r="F31" s="309"/>
      <c r="G31" s="309"/>
      <c r="H31" s="309"/>
      <c r="I31" s="309"/>
      <c r="J31" s="309"/>
      <c r="K31" s="309"/>
      <c r="L31" s="347"/>
      <c r="M31" s="348">
        <f>IF($W$2="From Preselector",IF(OR(Output!C28=0,Output!C28=""),0,VALUE(Output!C28)),IF($W$2="Manual",X31,IF($W$2="Light RCS", IF(OR('Light RCS'!C29=0,'Light RCS'!C29=""),0,VALUE('Light RCS'!C29)),0)))</f>
        <v>1</v>
      </c>
      <c r="N31" s="348">
        <f>IF($W$2="From Preselector",IF(OR(Output!D28=0,Output!D28=""),0,VALUE(Output!D28)),IF($W$2="Manual",Y31,IF($W$2="Light RCS", IF(OR('Light RCS'!D29=0,'Light RCS'!D29=""),0,VALUE('Light RCS'!D29)),0)))</f>
        <v>1</v>
      </c>
      <c r="O31" s="348">
        <f>IF($W$2="From Preselector",IF(OR(Output!E28=0,Output!E28=""),0,VALUE(Output!E28)),IF($W$2="Manual",Z31,IF($W$2="Light RCS", IF(OR('Light RCS'!E29=0,'Light RCS'!E29=""),0,VALUE('Light RCS'!E29)),0)))</f>
        <v>0</v>
      </c>
      <c r="P31" s="348">
        <f>IF($W$2="From Preselector",IF(OR(Output!F28=0,Output!F28=""),0,VALUE(Output!F28)),IF($W$2="Manual",AA31,IF($W$2="Light RCS", IF(OR('Light RCS'!F29=0,'Light RCS'!F29=""),0,VALUE('Light RCS'!F29)),0)))</f>
        <v>0</v>
      </c>
      <c r="Q31" s="348">
        <f>IF($W$2="From Preselector",IF(OR(Output!G28=0,Output!G28=""),0,VALUE(Output!G28)),IF($W$2="Manual",AB31,IF($W$2="Light RCS", IF(OR('Light RCS'!G29=0,'Light RCS'!G29=""),0,VALUE('Light RCS'!G29)),0)))</f>
        <v>0</v>
      </c>
      <c r="R31" s="348">
        <f>IF($W$2="From Preselector",IF(OR(Output!H28=0,Output!H28=""),0,VALUE(Output!H28)),IF($W$2="Manual",AC31,IF($W$2="Light RCS", IF(OR('Light RCS'!H29=0,'Light RCS'!H29=""),0,VALUE('Light RCS'!H29)),0)))</f>
        <v>0</v>
      </c>
      <c r="S31" s="348">
        <f>IF($W$2="From Preselector",IF(OR(Output!I28=0,Output!I28=""),0,VALUE(Output!I28)),IF($W$2="Manual",AD31,IF($W$2="Light RCS", IF(OR('Light RCS'!I29=0,'Light RCS'!I29=""),0,VALUE('Light RCS'!I29)),0)))</f>
        <v>0</v>
      </c>
      <c r="T31" s="348">
        <f>IF($W$2="From Preselector",IF(OR(Output!J28=0,Output!J28=""),0,VALUE(Output!J28)),IF($W$2="Manual",AE31,IF($W$2="Light RCS", IF(OR('Light RCS'!J29=0,'Light RCS'!J29=""),0,VALUE('Light RCS'!J29)),0)))</f>
        <v>0</v>
      </c>
      <c r="U31" s="516">
        <f>IF($W$2="From Preselector",IF(OR(Output!K28=0,Output!K28=""),0,VALUE(Output!K28)),IF($W$2="Manual",AF31,IF($W$2="Light RCS", IF(OR('Light RCS'!K29=0,'Light RCS'!K29=""),0,VALUE('Light RCS'!K29)),0)))</f>
        <v>0</v>
      </c>
      <c r="V31" s="303"/>
      <c r="W31" s="341" t="s">
        <v>624</v>
      </c>
      <c r="X31" s="387"/>
      <c r="Y31" s="387"/>
      <c r="Z31" s="387"/>
      <c r="AA31" s="387"/>
      <c r="AB31" s="387"/>
      <c r="AC31" s="387"/>
      <c r="AD31" s="387"/>
      <c r="AE31" s="387"/>
      <c r="AF31" s="388"/>
    </row>
    <row r="32" spans="1:55" ht="13.5" thickTop="1" thickBot="1">
      <c r="A32" s="318">
        <f t="shared" si="0"/>
        <v>26</v>
      </c>
      <c r="B32" s="319"/>
      <c r="C32" s="309" t="s">
        <v>421</v>
      </c>
      <c r="D32" s="309"/>
      <c r="E32" s="309"/>
      <c r="F32" s="309"/>
      <c r="G32" s="309"/>
      <c r="H32" s="309"/>
      <c r="I32" s="309"/>
      <c r="J32" s="309"/>
      <c r="K32" s="309"/>
      <c r="L32" s="347"/>
      <c r="M32" s="389" t="s">
        <v>422</v>
      </c>
      <c r="N32" s="390" t="str">
        <f t="shared" ref="N32:U32" si="4">IF(N$31&gt;0,$M32,"")</f>
        <v>DA</v>
      </c>
      <c r="O32" s="390" t="str">
        <f t="shared" si="4"/>
        <v/>
      </c>
      <c r="P32" s="390" t="str">
        <f t="shared" si="4"/>
        <v/>
      </c>
      <c r="Q32" s="390" t="str">
        <f t="shared" si="4"/>
        <v/>
      </c>
      <c r="R32" s="390" t="str">
        <f t="shared" si="4"/>
        <v/>
      </c>
      <c r="S32" s="390" t="str">
        <f t="shared" si="4"/>
        <v/>
      </c>
      <c r="T32" s="390" t="str">
        <f t="shared" si="4"/>
        <v/>
      </c>
      <c r="U32" s="391" t="str">
        <f t="shared" si="4"/>
        <v/>
      </c>
      <c r="V32" s="303"/>
      <c r="W32" s="320"/>
      <c r="X32" s="320"/>
      <c r="Y32" s="320"/>
      <c r="Z32" s="320"/>
      <c r="AA32" s="320"/>
      <c r="AB32" s="320"/>
      <c r="AC32" s="320"/>
      <c r="AD32" s="320"/>
      <c r="AE32" s="320"/>
    </row>
    <row r="33" spans="1:32" ht="13" thickTop="1">
      <c r="A33" s="318">
        <f t="shared" si="0"/>
        <v>27</v>
      </c>
      <c r="B33" s="319"/>
      <c r="C33" s="309" t="s">
        <v>423</v>
      </c>
      <c r="D33" s="309"/>
      <c r="E33" s="309"/>
      <c r="F33" s="309"/>
      <c r="G33" s="309"/>
      <c r="H33" s="309"/>
      <c r="I33" s="309"/>
      <c r="J33" s="309"/>
      <c r="K33" s="309"/>
      <c r="L33" s="392" t="s">
        <v>119</v>
      </c>
      <c r="M33" s="365">
        <f>IF($W$2="Manual",IF(X33=0,0,X33*VLOOKUP($L33,$AZ$8:$BA$20,2,FALSE)),IF($W$2="From Preselector",IF(OR(Output!C37=0,Output!C37=""),0,Output!C37*VLOOKUP($L33,$AZ$8:$BA$20,2,FALSE)),IF($W$2="Light RCS",IF(OR('Light RCS'!C38=0,'Light RCS'!C38=""),0,'Light RCS'!C38*VLOOKUP($L33,$AZ$8:$BA$20,2,FALSE)),"Data Input")))</f>
        <v>1000</v>
      </c>
      <c r="N33" s="365">
        <f>IF($W$2="Manual",IF(Y33=0,0,Y33*VLOOKUP($L33,$AZ$8:$BA$20,2,FALSE)),IF($W$2="From Preselector",IF(OR(Output!D37=0,Output!D37=""),0,Output!D37*VLOOKUP($L33,$AZ$8:$BA$20,2,FALSE)),IF($W$2="Light RCS",IF(OR('Light RCS'!D38=0,'Light RCS'!D38=""),0,'Light RCS'!D38*VLOOKUP($L33,$AZ$8:$BA$20,2,FALSE)),"Data Input")))</f>
        <v>630</v>
      </c>
      <c r="O33" s="365">
        <f>IF($W$2="Manual",IF(Z33=0,0,Z33*VLOOKUP($L33,$AZ$8:$BA$20,2,FALSE)),IF($W$2="From Preselector",IF(OR(Output!E37=0,Output!E37=""),0,Output!E37*VLOOKUP($L33,$AZ$8:$BA$20,2,FALSE)),IF($W$2="Light RCS",IF(OR('Light RCS'!E38=0,'Light RCS'!E38=""),0,'Light RCS'!E38*VLOOKUP($L33,$AZ$8:$BA$20,2,FALSE)),"Data Input")))</f>
        <v>0</v>
      </c>
      <c r="P33" s="365">
        <f>IF($W$2="Manual",IF(AA33=0,0,AA33*VLOOKUP($L33,$AZ$8:$BA$20,2,FALSE)),IF($W$2="From Preselector",IF(OR(Output!F37=0,Output!F37=""),0,Output!F37*VLOOKUP($L33,$AZ$8:$BA$20,2,FALSE)),IF($W$2="Light RCS",IF(OR('Light RCS'!F38=0,'Light RCS'!F38=""),0,'Light RCS'!F38*VLOOKUP($L33,$AZ$8:$BA$20,2,FALSE)),"Data Input")))</f>
        <v>0</v>
      </c>
      <c r="Q33" s="365">
        <f>IF($W$2="Manual",IF(AB33=0,0,AB33*VLOOKUP($L33,$AZ$8:$BA$20,2,FALSE)),IF($W$2="From Preselector",IF(OR(Output!G37=0,Output!G37=""),0,Output!G37*VLOOKUP($L33,$AZ$8:$BA$20,2,FALSE)),IF($W$2="Light RCS",IF(OR('Light RCS'!G38=0,'Light RCS'!G38=""),0,'Light RCS'!G38*VLOOKUP($L33,$AZ$8:$BA$20,2,FALSE)),"Data Input")))</f>
        <v>0</v>
      </c>
      <c r="R33" s="365">
        <f>IF($W$2="Manual",IF(AC33=0,0,AC33*VLOOKUP($L33,$AZ$8:$BA$20,2,FALSE)),IF($W$2="From Preselector",IF(OR(Output!H37=0,Output!H37=""),0,Output!H37*VLOOKUP($L33,$AZ$8:$BA$20,2,FALSE)),IF($W$2="Light RCS",IF(OR('Light RCS'!H38=0,'Light RCS'!H38=""),0,'Light RCS'!H38*VLOOKUP($L33,$AZ$8:$BA$20,2,FALSE)),"Data Input")))</f>
        <v>0</v>
      </c>
      <c r="S33" s="365">
        <f>IF($W$2="Manual",IF(AD33=0,0,AD33*VLOOKUP($L33,$AZ$8:$BA$20,2,FALSE)),IF($W$2="From Preselector",IF(OR(Output!I37=0,Output!I37=""),0,Output!I37*VLOOKUP($L33,$AZ$8:$BA$20,2,FALSE)),IF($W$2="Light RCS",IF(OR('Light RCS'!I38=0,'Light RCS'!I38=""),0,'Light RCS'!I38*VLOOKUP($L33,$AZ$8:$BA$20,2,FALSE)),"Data Input")))</f>
        <v>0</v>
      </c>
      <c r="T33" s="365">
        <f>IF($W$2="Manual",IF(AE33=0,0,AE33*VLOOKUP($L33,$AZ$8:$BA$20,2,FALSE)),IF($W$2="From Preselector",IF(OR(Output!J37=0,Output!J37=""),0,Output!J37*VLOOKUP($L33,$AZ$8:$BA$20,2,FALSE)),IF($W$2="Light RCS",IF(OR('Light RCS'!J38=0,'Light RCS'!J38=""),0,'Light RCS'!J38*VLOOKUP($L33,$AZ$8:$BA$20,2,FALSE)),"Data Input")))</f>
        <v>0</v>
      </c>
      <c r="U33" s="366">
        <f>IF($W$2="Manual",IF(AF33=0,0,AF33*VLOOKUP($L33,$AZ$8:$BA$20,2,FALSE)),IF($W$2="From Preselector",IF(OR(Output!K37=0,Output!K37=""),0,Output!K37*VLOOKUP($L33,$AZ$8:$BA$20,2,FALSE)),IF($W$2="Light RCS",IF(OR('Light RCS'!K38=0,'Light RCS'!K38=""),0,'Light RCS'!K38*VLOOKUP($L33,$AZ$8:$BA$20,2,FALSE)),"Data Input")))</f>
        <v>0</v>
      </c>
      <c r="V33" s="303"/>
      <c r="W33" s="393" t="s">
        <v>625</v>
      </c>
      <c r="X33" s="394"/>
      <c r="Y33" s="395"/>
      <c r="Z33" s="395"/>
      <c r="AA33" s="395"/>
      <c r="AB33" s="395"/>
      <c r="AC33" s="433"/>
      <c r="AD33" s="433"/>
      <c r="AE33" s="433"/>
      <c r="AF33" s="396"/>
    </row>
    <row r="34" spans="1:32" ht="13" thickBot="1">
      <c r="A34" s="318">
        <f t="shared" si="0"/>
        <v>28</v>
      </c>
      <c r="B34" s="319"/>
      <c r="C34" s="309" t="s">
        <v>424</v>
      </c>
      <c r="D34" s="309"/>
      <c r="E34" s="309"/>
      <c r="F34" s="309"/>
      <c r="G34" s="309"/>
      <c r="H34" s="309"/>
      <c r="I34" s="309"/>
      <c r="J34" s="309"/>
      <c r="K34" s="309"/>
      <c r="L34" s="364" t="str">
        <f>L33</f>
        <v>mm</v>
      </c>
      <c r="M34" s="365">
        <f>IF($W$2="Manual",IF(X34=0,0,X34*VLOOKUP($L34,$AZ$8:$BA$20,2,FALSE)),IF($W$2="From Preselector",IF(OR(Output!B15=0,Output!B15=""),0,Output!B15*VLOOKUP($L34,$AZ$8:$BA$20,2,FALSE)),IF($W$2="Light RCS",IF(OR('Light RCS'!B15=0,'Light RCS'!B15=""),0,'Light RCS'!B15*VLOOKUP($L34,$AZ$8:$BA$20,2,FALSE)),"Data Input")))</f>
        <v>290</v>
      </c>
      <c r="N34" s="365">
        <f>IF(N$31&gt;0,$M34,0)</f>
        <v>290</v>
      </c>
      <c r="O34" s="365">
        <f t="shared" ref="O34:U35" si="5">IF(O$31&gt;0,$M34,0)</f>
        <v>0</v>
      </c>
      <c r="P34" s="365">
        <f t="shared" si="5"/>
        <v>0</v>
      </c>
      <c r="Q34" s="365">
        <f t="shared" si="5"/>
        <v>0</v>
      </c>
      <c r="R34" s="365">
        <f t="shared" si="5"/>
        <v>0</v>
      </c>
      <c r="S34" s="365">
        <f t="shared" si="5"/>
        <v>0</v>
      </c>
      <c r="T34" s="365">
        <f t="shared" si="5"/>
        <v>0</v>
      </c>
      <c r="U34" s="366">
        <f t="shared" si="5"/>
        <v>0</v>
      </c>
      <c r="V34" s="303"/>
      <c r="W34" s="376" t="s">
        <v>626</v>
      </c>
      <c r="X34" s="397"/>
      <c r="Y34" s="398"/>
      <c r="Z34" s="398"/>
      <c r="AA34" s="398"/>
      <c r="AB34" s="398"/>
      <c r="AC34" s="434"/>
      <c r="AD34" s="434"/>
      <c r="AE34" s="434"/>
      <c r="AF34" s="399"/>
    </row>
    <row r="35" spans="1:32" ht="13" thickTop="1">
      <c r="A35" s="318">
        <f t="shared" si="0"/>
        <v>29</v>
      </c>
      <c r="B35" s="319"/>
      <c r="C35" s="309" t="s">
        <v>425</v>
      </c>
      <c r="D35" s="309"/>
      <c r="E35" s="309"/>
      <c r="F35" s="309"/>
      <c r="G35" s="309"/>
      <c r="H35" s="309"/>
      <c r="I35" s="309"/>
      <c r="J35" s="309"/>
      <c r="K35" s="309"/>
      <c r="L35" s="364" t="str">
        <f>L33</f>
        <v>mm</v>
      </c>
      <c r="M35" s="365">
        <f>IF(AI1=0,0,AI1*VLOOKUP($L35,$AZ$8:$BA$20,2,FALSE))</f>
        <v>90</v>
      </c>
      <c r="N35" s="365">
        <f>IF(N$31&gt;0,$M35,0)</f>
        <v>90</v>
      </c>
      <c r="O35" s="365">
        <f t="shared" si="5"/>
        <v>0</v>
      </c>
      <c r="P35" s="365">
        <f t="shared" si="5"/>
        <v>0</v>
      </c>
      <c r="Q35" s="365">
        <f t="shared" si="5"/>
        <v>0</v>
      </c>
      <c r="R35" s="365">
        <f t="shared" si="5"/>
        <v>0</v>
      </c>
      <c r="S35" s="365">
        <f t="shared" si="5"/>
        <v>0</v>
      </c>
      <c r="T35" s="365">
        <f t="shared" si="5"/>
        <v>0</v>
      </c>
      <c r="U35" s="366">
        <f t="shared" si="5"/>
        <v>0</v>
      </c>
      <c r="V35" s="303"/>
      <c r="W35"/>
      <c r="X35"/>
      <c r="Y35"/>
      <c r="Z35"/>
      <c r="AA35"/>
      <c r="AB35"/>
      <c r="AC35"/>
      <c r="AD35"/>
      <c r="AE35"/>
      <c r="AF35"/>
    </row>
    <row r="36" spans="1:32">
      <c r="A36" s="318">
        <f t="shared" si="0"/>
        <v>30</v>
      </c>
      <c r="B36" s="319"/>
      <c r="C36" s="309" t="s">
        <v>426</v>
      </c>
      <c r="D36" s="309"/>
      <c r="E36" s="309"/>
      <c r="F36" s="309"/>
      <c r="G36" s="309"/>
      <c r="H36" s="309"/>
      <c r="I36" s="309"/>
      <c r="J36" s="309"/>
      <c r="K36" s="309"/>
      <c r="L36" s="392" t="s">
        <v>383</v>
      </c>
      <c r="M36" s="400">
        <f>IF($W$2&lt;&gt;0,(IF(M32="SA",M31*(((M33/1000)/2)^2*PI())*(M34/1000)*$M24*60,M31*(((M33/1000)/2)^2*PI()+(((M33/1000)/2)^2*PI()-((M35/1000)/2)^2*PI()))*(M34/1000)*$M24*60)*VLOOKUP($L36,$AV$8:$AW$20,2,FALSE)),"Data Input")</f>
        <v>8901.3199965898002</v>
      </c>
      <c r="N36" s="400">
        <f t="shared" ref="N36:U36" si="6">IF($W$2&lt;&gt;0,(IF(N32="SA",N31*(((N33/1000)/2)^2*PI())*(N34/1000)*$M24*60,N31*(((N33/1000)/2)^2*PI()+(((N33/1000)/2)^2*PI()-((N35/1000)/2)^2*PI()))*(N34/1000)*$M24*60)*VLOOKUP($L36,$AV$8:$AW$20,2,FALSE)),"")</f>
        <v>3511.1035299566283</v>
      </c>
      <c r="O36" s="400">
        <f t="shared" si="6"/>
        <v>0</v>
      </c>
      <c r="P36" s="400">
        <f t="shared" si="6"/>
        <v>0</v>
      </c>
      <c r="Q36" s="400">
        <f t="shared" si="6"/>
        <v>0</v>
      </c>
      <c r="R36" s="400">
        <f t="shared" si="6"/>
        <v>0</v>
      </c>
      <c r="S36" s="400">
        <f t="shared" si="6"/>
        <v>0</v>
      </c>
      <c r="T36" s="400">
        <f t="shared" si="6"/>
        <v>0</v>
      </c>
      <c r="U36" s="401">
        <f t="shared" si="6"/>
        <v>0</v>
      </c>
      <c r="V36" s="303"/>
      <c r="W36"/>
      <c r="X36"/>
      <c r="Y36"/>
      <c r="Z36"/>
      <c r="AA36"/>
      <c r="AB36"/>
      <c r="AC36"/>
      <c r="AD36"/>
      <c r="AE36"/>
      <c r="AF36"/>
    </row>
    <row r="37" spans="1:32">
      <c r="A37" s="318">
        <f t="shared" si="0"/>
        <v>31</v>
      </c>
      <c r="B37" s="319"/>
      <c r="C37" s="309" t="s">
        <v>427</v>
      </c>
      <c r="D37" s="309"/>
      <c r="E37" s="309"/>
      <c r="F37" s="309"/>
      <c r="G37" s="309"/>
      <c r="H37" s="309"/>
      <c r="I37" s="309"/>
      <c r="J37" s="309"/>
      <c r="K37" s="309"/>
      <c r="L37" s="364" t="s">
        <v>130</v>
      </c>
      <c r="M37" s="402"/>
      <c r="N37" s="402"/>
      <c r="O37" s="402"/>
      <c r="P37" s="402"/>
      <c r="Q37" s="402"/>
      <c r="R37" s="402"/>
      <c r="S37" s="402"/>
      <c r="T37" s="402"/>
      <c r="U37" s="403"/>
      <c r="V37" s="303"/>
      <c r="W37"/>
      <c r="X37"/>
      <c r="Y37"/>
      <c r="Z37"/>
      <c r="AA37"/>
      <c r="AB37"/>
      <c r="AC37"/>
      <c r="AD37"/>
      <c r="AE37"/>
      <c r="AF37"/>
    </row>
    <row r="38" spans="1:32">
      <c r="A38" s="318">
        <f t="shared" si="0"/>
        <v>32</v>
      </c>
      <c r="B38" s="319"/>
      <c r="C38" s="309" t="s">
        <v>428</v>
      </c>
      <c r="D38" s="309"/>
      <c r="E38" s="309"/>
      <c r="F38" s="309"/>
      <c r="G38" s="309"/>
      <c r="H38" s="309"/>
      <c r="I38" s="309"/>
      <c r="J38" s="309"/>
      <c r="K38" s="309"/>
      <c r="L38" s="364"/>
      <c r="M38" s="349"/>
      <c r="N38" s="349"/>
      <c r="O38" s="349"/>
      <c r="P38" s="349"/>
      <c r="Q38" s="349"/>
      <c r="R38" s="349"/>
      <c r="S38" s="349"/>
      <c r="T38" s="349"/>
      <c r="U38" s="521"/>
      <c r="V38" s="303"/>
      <c r="W38"/>
      <c r="X38"/>
      <c r="Y38"/>
      <c r="Z38"/>
      <c r="AA38"/>
      <c r="AB38"/>
      <c r="AC38"/>
      <c r="AD38"/>
      <c r="AE38"/>
      <c r="AF38"/>
    </row>
    <row r="39" spans="1:32">
      <c r="A39" s="318">
        <f t="shared" si="0"/>
        <v>33</v>
      </c>
      <c r="B39" s="319"/>
      <c r="C39" s="309" t="s">
        <v>429</v>
      </c>
      <c r="D39" s="309"/>
      <c r="E39" s="309"/>
      <c r="F39" s="309"/>
      <c r="G39" s="309"/>
      <c r="H39" s="309"/>
      <c r="I39" s="309"/>
      <c r="J39" s="309"/>
      <c r="K39" s="309"/>
      <c r="L39" s="364"/>
      <c r="M39" s="404" t="s">
        <v>430</v>
      </c>
      <c r="N39" s="405" t="str">
        <f>IF(N$31&gt;0,$M39,0)</f>
        <v>RINGS</v>
      </c>
      <c r="O39" s="405">
        <f>IF(O$31&gt;0,$M39,0)</f>
        <v>0</v>
      </c>
      <c r="P39" s="405">
        <f t="shared" ref="P39:U39" si="7">IF(P$31&gt;0,$M39,0)</f>
        <v>0</v>
      </c>
      <c r="Q39" s="405">
        <f t="shared" si="7"/>
        <v>0</v>
      </c>
      <c r="R39" s="405">
        <f t="shared" si="7"/>
        <v>0</v>
      </c>
      <c r="S39" s="405">
        <f t="shared" si="7"/>
        <v>0</v>
      </c>
      <c r="T39" s="405">
        <f t="shared" si="7"/>
        <v>0</v>
      </c>
      <c r="U39" s="406">
        <f t="shared" si="7"/>
        <v>0</v>
      </c>
      <c r="V39" s="303"/>
      <c r="W39"/>
      <c r="X39"/>
      <c r="Y39"/>
      <c r="Z39"/>
      <c r="AA39"/>
      <c r="AB39"/>
      <c r="AC39"/>
      <c r="AD39"/>
      <c r="AE39"/>
      <c r="AF39"/>
    </row>
    <row r="40" spans="1:32">
      <c r="A40" s="318">
        <f t="shared" si="0"/>
        <v>34</v>
      </c>
      <c r="B40" s="319"/>
      <c r="C40" s="309" t="s">
        <v>431</v>
      </c>
      <c r="D40" s="309"/>
      <c r="E40" s="309"/>
      <c r="F40" s="309"/>
      <c r="G40" s="309"/>
      <c r="H40" s="309"/>
      <c r="I40" s="309"/>
      <c r="J40" s="309"/>
      <c r="K40" s="309"/>
      <c r="L40" s="392" t="s">
        <v>110</v>
      </c>
      <c r="M40" s="357">
        <f>IF($W$2&lt;&gt;0,($M$24/60*M34*2/1000*VLOOKUP($L40,$BB$8:$BC$20,2,FALSE)),"Data Input")</f>
        <v>3.161</v>
      </c>
      <c r="N40" s="357">
        <f t="shared" ref="N40:U40" si="8">IF($W$2&lt;&gt;0,($M$24/60*N34*2/1000*VLOOKUP($L40,$BB$8:$BC$20,2,FALSE)),"")</f>
        <v>3.161</v>
      </c>
      <c r="O40" s="357">
        <f t="shared" si="8"/>
        <v>0</v>
      </c>
      <c r="P40" s="357">
        <f t="shared" si="8"/>
        <v>0</v>
      </c>
      <c r="Q40" s="357">
        <f t="shared" si="8"/>
        <v>0</v>
      </c>
      <c r="R40" s="357">
        <f t="shared" si="8"/>
        <v>0</v>
      </c>
      <c r="S40" s="357">
        <f t="shared" si="8"/>
        <v>0</v>
      </c>
      <c r="T40" s="357">
        <f t="shared" si="8"/>
        <v>0</v>
      </c>
      <c r="U40" s="358">
        <f t="shared" si="8"/>
        <v>0</v>
      </c>
      <c r="V40" s="303"/>
      <c r="W40"/>
      <c r="X40"/>
      <c r="Y40"/>
      <c r="Z40"/>
      <c r="AA40"/>
      <c r="AB40"/>
      <c r="AC40"/>
      <c r="AD40"/>
      <c r="AE40"/>
      <c r="AF40"/>
    </row>
    <row r="41" spans="1:32">
      <c r="A41" s="318">
        <f t="shared" si="0"/>
        <v>35</v>
      </c>
      <c r="B41" s="319"/>
      <c r="C41" s="309" t="s">
        <v>708</v>
      </c>
      <c r="D41" s="309"/>
      <c r="E41" s="309"/>
      <c r="F41" s="309"/>
      <c r="G41" s="309"/>
      <c r="H41" s="309"/>
      <c r="I41" s="309"/>
      <c r="J41" s="309"/>
      <c r="K41" s="309"/>
      <c r="L41" s="392" t="s">
        <v>388</v>
      </c>
      <c r="M41" s="407">
        <f>IF($W$2&lt;&gt;0,(IF(M19=0,0,IF(RIGHT($L41,1)="g",(M19-1)*VLOOKUP($L41,$AN$8:$AO$20,2,FALSE),IF(RIGHT($L41,2)="ia",(M19-1)*VLOOKUP($L41,$AN$8:$AO$20,2,FALSE)+14.5,(M19-1)*VLOOKUP($L41,$AN$8:$AO$20,2,FALSE)+1)))),"Data Input")</f>
        <v>1.2400000000000002</v>
      </c>
      <c r="N41" s="407">
        <f t="shared" ref="N41:U41" si="9">IF($W$2&lt;&gt;0,(IF(N19=0,0,IF(RIGHT($L41,1)="g",(N19-1)*VLOOKUP($L41,$AN$8:$AO$20,2,FALSE),IF(RIGHT($L41,2)="ia",(N19-1)*VLOOKUP($L41,$AN$8:$AO$20,2,FALSE)+14.5,(N19-1)*VLOOKUP($L41,$AN$8:$AO$20,2,FALSE)+1)))),"")</f>
        <v>4</v>
      </c>
      <c r="O41" s="407">
        <f t="shared" si="9"/>
        <v>0</v>
      </c>
      <c r="P41" s="407">
        <f t="shared" si="9"/>
        <v>0</v>
      </c>
      <c r="Q41" s="407">
        <f t="shared" si="9"/>
        <v>0</v>
      </c>
      <c r="R41" s="407">
        <f t="shared" si="9"/>
        <v>0</v>
      </c>
      <c r="S41" s="407">
        <f t="shared" si="9"/>
        <v>0</v>
      </c>
      <c r="T41" s="407">
        <f t="shared" si="9"/>
        <v>0</v>
      </c>
      <c r="U41" s="408">
        <f t="shared" si="9"/>
        <v>0</v>
      </c>
      <c r="V41" s="303"/>
      <c r="W41"/>
      <c r="X41"/>
      <c r="Y41"/>
      <c r="Z41"/>
      <c r="AA41"/>
      <c r="AB41"/>
      <c r="AC41"/>
      <c r="AD41"/>
      <c r="AE41"/>
      <c r="AF41"/>
    </row>
    <row r="42" spans="1:32">
      <c r="A42" s="318">
        <f t="shared" si="0"/>
        <v>36</v>
      </c>
      <c r="B42" s="319"/>
      <c r="C42" s="309" t="s">
        <v>432</v>
      </c>
      <c r="D42" s="309"/>
      <c r="E42" s="309"/>
      <c r="F42" s="309"/>
      <c r="G42" s="309"/>
      <c r="H42" s="309"/>
      <c r="I42" s="309"/>
      <c r="J42" s="309"/>
      <c r="K42" s="309"/>
      <c r="L42" s="364" t="str">
        <f>L41</f>
        <v>Bar G</v>
      </c>
      <c r="M42" s="407">
        <f>IF($W$2&lt;&gt;0,(IF(M19=0,0,IF(RIGHT($L42,1)="g",IF(M41&lt;=10,M41+1,IF(M41&lt;=170,M41*1.1,IF(M41&lt;=240,M41*1.08,IF(M41&lt;=345,M41*1.06,"to be defined"))))*VLOOKUP($L42,$AN$8:$AO$20,2,FALSE),IF(RIGHT($L42,2)="ia",IF(M41&lt;=10,M41+1,IF(M41&lt;=170,M41*1.1,IF(M41&lt;=240,M41*1.08,IF(M41&lt;=345,M41*1.06,"to be defined"))))*VLOOKUP($L42,$AN$8:$AO$20,2,FALSE)+14.5,IF(M41&lt;=240,M41*1.08,IF(M41&lt;=345,M41*1.06,"to be defined"))*VLOOKUP($L42,$AN$8:$AO$20,2,FALSE)+1)))),"Data Input")</f>
        <v>2.2400000000000002</v>
      </c>
      <c r="N42" s="407">
        <f t="shared" ref="N42:U42" si="10">IF($W$2&lt;&gt;0,(IF(N19=0,0,IF(RIGHT($L42,1)="g",IF(N41&lt;=10,N41+1,IF(N41&lt;=170,N41*1.1,IF(N41&lt;=240,N41*1.08,IF(N41&lt;=345,N41*1.06,"to be defined"))))*VLOOKUP($L42,$AN$8:$AO$20,2,FALSE),IF(RIGHT($L42,2)="ia",IF(N41&lt;=10,N41+1,IF(N41&lt;=170,N41*1.1,IF(N41&lt;=240,N41*1.08,IF(N41&lt;=345,N41*1.06,"to be defined"))))*VLOOKUP($L42,$AN$8:$AO$20,2,FALSE)+14.5,IF(N41&lt;=240,N41*1.08,IF(N41&lt;=345,N41*1.06,"to be defined"))*VLOOKUP($L42,$AN$8:$AO$20,2,FALSE)+1)))),"")</f>
        <v>5</v>
      </c>
      <c r="O42" s="407">
        <f t="shared" si="10"/>
        <v>0</v>
      </c>
      <c r="P42" s="407">
        <f t="shared" si="10"/>
        <v>0</v>
      </c>
      <c r="Q42" s="407">
        <f t="shared" si="10"/>
        <v>0</v>
      </c>
      <c r="R42" s="407">
        <f t="shared" si="10"/>
        <v>0</v>
      </c>
      <c r="S42" s="407">
        <f t="shared" si="10"/>
        <v>0</v>
      </c>
      <c r="T42" s="407">
        <f t="shared" si="10"/>
        <v>0</v>
      </c>
      <c r="U42" s="408">
        <f t="shared" si="10"/>
        <v>0</v>
      </c>
      <c r="V42" s="303"/>
      <c r="W42"/>
      <c r="X42"/>
      <c r="Y42"/>
      <c r="Z42"/>
      <c r="AA42"/>
      <c r="AB42"/>
      <c r="AC42"/>
      <c r="AD42"/>
      <c r="AE42"/>
      <c r="AF42"/>
    </row>
    <row r="43" spans="1:32">
      <c r="A43" s="318">
        <f t="shared" si="0"/>
        <v>37</v>
      </c>
      <c r="B43" s="319"/>
      <c r="C43" s="309" t="s">
        <v>433</v>
      </c>
      <c r="D43" s="309"/>
      <c r="E43" s="309"/>
      <c r="F43" s="309"/>
      <c r="G43" s="309"/>
      <c r="H43" s="309"/>
      <c r="I43" s="309"/>
      <c r="J43" s="309"/>
      <c r="K43" s="309"/>
      <c r="L43" s="364" t="str">
        <f>L41</f>
        <v>Bar G</v>
      </c>
      <c r="M43" s="407">
        <f>IF($W$2&lt;&gt;0,(IF(M19=0,0,IF(RIGHT($L43,1)="g",IF((M19-1)&lt;=17,(M19-1+1.7),(M19-1)*1.1)*VLOOKUP($L43,$AN$8:$AO$20,2,FALSE),IF(RIGHT($L43,2)="ia",IF((M19-1)&lt;=17,(M19-1+1.7),(M19-1)*1.1)*VLOOKUP($L43,$AN$8:$AO$20,2,FALSE)+14.5,IF((M19-1)&lt;=17,(M19-1+1.7),(M19-1)*1.1)*VLOOKUP($L43,$AN$8:$AO$20,2,FALSE)+1)))),"Data Input")</f>
        <v>2.9400000000000004</v>
      </c>
      <c r="N43" s="407">
        <f t="shared" ref="N43:U43" si="11">IF($W$2&lt;&gt;0,(IF(N19=0,0,IF(RIGHT($L43,1)="g",IF((N19-1)&lt;=17,(N19-1+1.7),(N19-1)*1.1)*VLOOKUP($L43,$AN$8:$AO$20,2,FALSE),IF(RIGHT($L43,2)="ia",IF((N19-1)&lt;=17,(N19-1+1.7),(N19-1)*1.1)*VLOOKUP($L43,$AN$8:$AO$20,2,FALSE)+14.5,IF((N19-1)&lt;=17,(N19-1+1.7),(N19-1)*1.1)*VLOOKUP($L43,$AN$8:$AO$20,2,FALSE)+1)))),"")</f>
        <v>5.7</v>
      </c>
      <c r="O43" s="407">
        <f t="shared" si="11"/>
        <v>0</v>
      </c>
      <c r="P43" s="407">
        <f t="shared" si="11"/>
        <v>0</v>
      </c>
      <c r="Q43" s="407">
        <f t="shared" si="11"/>
        <v>0</v>
      </c>
      <c r="R43" s="407">
        <f t="shared" si="11"/>
        <v>0</v>
      </c>
      <c r="S43" s="407">
        <f t="shared" si="11"/>
        <v>0</v>
      </c>
      <c r="T43" s="407">
        <f t="shared" si="11"/>
        <v>0</v>
      </c>
      <c r="U43" s="408">
        <f t="shared" si="11"/>
        <v>0</v>
      </c>
      <c r="V43" s="303"/>
      <c r="W43"/>
      <c r="X43"/>
      <c r="Y43"/>
      <c r="Z43"/>
      <c r="AA43"/>
      <c r="AB43"/>
      <c r="AC43"/>
      <c r="AD43"/>
      <c r="AE43"/>
      <c r="AF43"/>
    </row>
    <row r="44" spans="1:32">
      <c r="A44" s="318">
        <f t="shared" si="0"/>
        <v>38</v>
      </c>
      <c r="B44" s="319"/>
      <c r="C44" s="309" t="s">
        <v>434</v>
      </c>
      <c r="D44" s="309"/>
      <c r="E44" s="309"/>
      <c r="F44" s="309"/>
      <c r="G44" s="309"/>
      <c r="H44" s="309"/>
      <c r="I44" s="309"/>
      <c r="J44" s="309"/>
      <c r="K44" s="309"/>
      <c r="L44" s="364" t="str">
        <f>L18</f>
        <v>°C</v>
      </c>
      <c r="M44" s="409">
        <v>200</v>
      </c>
      <c r="N44" s="405">
        <f>IF(N$31&gt;0,$M44,0)</f>
        <v>200</v>
      </c>
      <c r="O44" s="405">
        <f t="shared" ref="O44:U44" si="12">IF(O$31&gt;0,$M44,0)</f>
        <v>0</v>
      </c>
      <c r="P44" s="405">
        <f t="shared" si="12"/>
        <v>0</v>
      </c>
      <c r="Q44" s="405">
        <f t="shared" si="12"/>
        <v>0</v>
      </c>
      <c r="R44" s="405">
        <f t="shared" si="12"/>
        <v>0</v>
      </c>
      <c r="S44" s="405">
        <f t="shared" si="12"/>
        <v>0</v>
      </c>
      <c r="T44" s="405">
        <f t="shared" si="12"/>
        <v>0</v>
      </c>
      <c r="U44" s="406">
        <f t="shared" si="12"/>
        <v>0</v>
      </c>
      <c r="V44" s="303"/>
      <c r="W44"/>
      <c r="X44"/>
      <c r="Y44"/>
      <c r="Z44"/>
      <c r="AA44"/>
      <c r="AB44"/>
      <c r="AC44"/>
      <c r="AD44"/>
      <c r="AE44"/>
      <c r="AF44"/>
    </row>
    <row r="45" spans="1:32">
      <c r="A45" s="318">
        <f t="shared" si="0"/>
        <v>39</v>
      </c>
      <c r="B45" s="319"/>
      <c r="C45" s="309" t="s">
        <v>435</v>
      </c>
      <c r="D45" s="309"/>
      <c r="E45" s="309"/>
      <c r="F45" s="309"/>
      <c r="G45" s="309"/>
      <c r="H45" s="309"/>
      <c r="I45" s="309"/>
      <c r="J45" s="309"/>
      <c r="K45" s="309"/>
      <c r="L45" s="364" t="str">
        <f>L41</f>
        <v>Bar G</v>
      </c>
      <c r="M45" s="410">
        <f>IF($W$2&lt;&gt;0,M43*1.5,"Data Input")</f>
        <v>4.41</v>
      </c>
      <c r="N45" s="410">
        <f t="shared" ref="N45:U45" si="13">IF($W$2&lt;&gt;0,N43*1.5,"")</f>
        <v>8.5500000000000007</v>
      </c>
      <c r="O45" s="410">
        <f t="shared" si="13"/>
        <v>0</v>
      </c>
      <c r="P45" s="410">
        <f t="shared" si="13"/>
        <v>0</v>
      </c>
      <c r="Q45" s="410">
        <f t="shared" si="13"/>
        <v>0</v>
      </c>
      <c r="R45" s="410">
        <f t="shared" si="13"/>
        <v>0</v>
      </c>
      <c r="S45" s="410">
        <f t="shared" si="13"/>
        <v>0</v>
      </c>
      <c r="T45" s="410">
        <f t="shared" si="13"/>
        <v>0</v>
      </c>
      <c r="U45" s="411">
        <f t="shared" si="13"/>
        <v>0</v>
      </c>
      <c r="V45" s="303"/>
      <c r="W45"/>
      <c r="X45"/>
      <c r="Y45"/>
      <c r="Z45"/>
      <c r="AA45"/>
      <c r="AB45"/>
      <c r="AC45"/>
      <c r="AD45"/>
      <c r="AE45"/>
      <c r="AF45"/>
    </row>
    <row r="46" spans="1:32">
      <c r="A46" s="318">
        <f t="shared" si="0"/>
        <v>40</v>
      </c>
      <c r="B46" s="319"/>
      <c r="C46" s="412" t="s">
        <v>436</v>
      </c>
      <c r="D46" s="309"/>
      <c r="E46" s="309"/>
      <c r="F46" s="309"/>
      <c r="G46" s="309"/>
      <c r="H46" s="309"/>
      <c r="I46" s="309"/>
      <c r="J46" s="309"/>
      <c r="K46" s="309"/>
      <c r="L46" s="392" t="s">
        <v>380</v>
      </c>
      <c r="M46" s="367">
        <f>IF(AJ1=0,0,AJ1*VLOOKUP($L46,$AL$8:$AM$20,2,FALSE))</f>
        <v>53300</v>
      </c>
      <c r="N46" s="367">
        <f t="shared" ref="N46:U46" si="14">IF(N31&gt;0,$M46,0)</f>
        <v>53300</v>
      </c>
      <c r="O46" s="367">
        <f t="shared" si="14"/>
        <v>0</v>
      </c>
      <c r="P46" s="367">
        <f t="shared" si="14"/>
        <v>0</v>
      </c>
      <c r="Q46" s="367">
        <f t="shared" si="14"/>
        <v>0</v>
      </c>
      <c r="R46" s="367">
        <f t="shared" si="14"/>
        <v>0</v>
      </c>
      <c r="S46" s="367">
        <f t="shared" si="14"/>
        <v>0</v>
      </c>
      <c r="T46" s="367">
        <f t="shared" si="14"/>
        <v>0</v>
      </c>
      <c r="U46" s="368">
        <f t="shared" si="14"/>
        <v>0</v>
      </c>
      <c r="V46" s="303"/>
      <c r="W46"/>
      <c r="X46"/>
      <c r="Y46"/>
      <c r="Z46"/>
      <c r="AA46"/>
      <c r="AB46"/>
      <c r="AC46"/>
      <c r="AD46"/>
      <c r="AE46"/>
      <c r="AF46"/>
    </row>
    <row r="47" spans="1:32" ht="13" thickBot="1">
      <c r="A47" s="318">
        <f t="shared" si="0"/>
        <v>41</v>
      </c>
      <c r="B47" s="319"/>
      <c r="C47" s="412" t="s">
        <v>437</v>
      </c>
      <c r="D47" s="309"/>
      <c r="E47" s="309"/>
      <c r="F47" s="309"/>
      <c r="G47" s="309"/>
      <c r="H47" s="309"/>
      <c r="I47" s="309"/>
      <c r="J47" s="309"/>
      <c r="K47" s="309"/>
      <c r="L47" s="413" t="str">
        <f>L46</f>
        <v>daN</v>
      </c>
      <c r="M47" s="367">
        <f>IF(AK1=0,0,AK1*VLOOKUP($L47,$AL$8:$AM$20,2,FALSE))</f>
        <v>49000</v>
      </c>
      <c r="N47" s="367">
        <f t="shared" ref="N47:U47" si="15">IF(N31&gt;0,$M47,0)</f>
        <v>49000</v>
      </c>
      <c r="O47" s="367">
        <f t="shared" si="15"/>
        <v>0</v>
      </c>
      <c r="P47" s="367">
        <f t="shared" si="15"/>
        <v>0</v>
      </c>
      <c r="Q47" s="367">
        <f t="shared" si="15"/>
        <v>0</v>
      </c>
      <c r="R47" s="367">
        <f t="shared" si="15"/>
        <v>0</v>
      </c>
      <c r="S47" s="367">
        <f t="shared" si="15"/>
        <v>0</v>
      </c>
      <c r="T47" s="367">
        <f t="shared" si="15"/>
        <v>0</v>
      </c>
      <c r="U47" s="368">
        <f t="shared" si="15"/>
        <v>0</v>
      </c>
      <c r="V47" s="303"/>
      <c r="W47"/>
      <c r="X47"/>
      <c r="Y47"/>
      <c r="Z47"/>
      <c r="AA47"/>
      <c r="AB47"/>
      <c r="AC47"/>
      <c r="AD47"/>
      <c r="AE47"/>
      <c r="AF47"/>
    </row>
    <row r="48" spans="1:32" ht="13" thickTop="1">
      <c r="A48" s="318">
        <f t="shared" si="0"/>
        <v>42</v>
      </c>
      <c r="B48" s="319"/>
      <c r="C48" s="309" t="s">
        <v>438</v>
      </c>
      <c r="D48" s="309"/>
      <c r="E48" s="309"/>
      <c r="F48" s="309"/>
      <c r="G48" s="309"/>
      <c r="H48" s="309"/>
      <c r="I48" s="309"/>
      <c r="J48" s="309"/>
      <c r="K48" s="309"/>
      <c r="L48" s="413" t="str">
        <f>L47</f>
        <v>daN</v>
      </c>
      <c r="M48" s="367">
        <f>IF($W$2="Manual",IF(X48=0,0,X48*VLOOKUP($L48,$AL$8:$AM$20,2,FALSE)),IF($W$2="From Preselector",IF(OR(Output!C40=0,Output!C40=""),0,Output!C40*VLOOKUP($L48,$AL$8:$AM$20,2,FALSE)),IF($W$2="Light RCS",IF(OR('Light RCS'!C41=0,'Light RCS'!C41=""),0,'Light RCS'!C41*VLOOKUP($L48,$AL$8:$AM$20,2,FALSE)),"Data Input")))</f>
        <v>11145.04</v>
      </c>
      <c r="N48" s="367">
        <f>IF($W$2="Manual",IF(Y48=0,0,Y48*VLOOKUP($L48,$AL$8:$AM$20,2,FALSE)),IF($W$2="From Preselector",IF(OR(Output!D40=0,Output!D40=""),0,Output!D40*VLOOKUP($L48,$AL$8:$AM$20,2,FALSE)),IF($W$2="Light RCS",IF(OR('Light RCS'!D41=0,'Light RCS'!D41=""),0,'Light RCS'!D41*VLOOKUP($L48,$AL$8:$AM$20,2,FALSE)),"Data Input")))</f>
        <v>10341.24</v>
      </c>
      <c r="O48" s="367">
        <f>IF($W$2="Manual",IF(Z48=0,0,Z48*VLOOKUP($L48,$AL$8:$AM$20,2,FALSE)),IF($W$2="From Preselector",IF(OR(Output!E40=0,Output!E40=""),0,Output!E40*VLOOKUP($L48,$AL$8:$AM$20,2,FALSE)),IF($W$2="Light RCS",IF(OR('Light RCS'!E41=0,'Light RCS'!E41=""),0,'Light RCS'!E41*VLOOKUP($L48,$AL$8:$AM$20,2,FALSE)),"Data Input")))</f>
        <v>0</v>
      </c>
      <c r="P48" s="367">
        <f>IF($W$2="Manual",IF(AA48=0,0,AA48*VLOOKUP($L48,$AL$8:$AM$20,2,FALSE)),IF($W$2="From Preselector",IF(OR(Output!F40=0,Output!F40=""),0,Output!F40*VLOOKUP($L48,$AL$8:$AM$20,2,FALSE)),IF($W$2="Light RCS",IF(OR('Light RCS'!F41=0,'Light RCS'!F41=""),0,'Light RCS'!F41*VLOOKUP($L48,$AL$8:$AM$20,2,FALSE)),"Data Input")))</f>
        <v>0</v>
      </c>
      <c r="Q48" s="367">
        <f>IF($W$2="Manual",IF(AB48=0,0,AB48*VLOOKUP($L48,$AL$8:$AM$20,2,FALSE)),IF($W$2="From Preselector",IF(OR(Output!G40=0,Output!G40=""),0,Output!G40*VLOOKUP($L48,$AL$8:$AM$20,2,FALSE)),IF($W$2="Light RCS",IF(OR('Light RCS'!G41=0,'Light RCS'!G41=""),0,'Light RCS'!G41*VLOOKUP($L48,$AL$8:$AM$20,2,FALSE)),"Data Input")))</f>
        <v>0</v>
      </c>
      <c r="R48" s="367">
        <f>IF($W$2="Manual",IF(AC48=0,0,AC48*VLOOKUP($L48,$AL$8:$AM$20,2,FALSE)),IF($W$2="From Preselector",IF(OR(Output!H40=0,Output!H40=""),0,Output!H40*VLOOKUP($L48,$AL$8:$AM$20,2,FALSE)),IF($W$2="Light RCS",IF(OR('Light RCS'!H41=0,'Light RCS'!H41=""),0,'Light RCS'!H41*VLOOKUP($L48,$AL$8:$AM$20,2,FALSE)),"Data Input")))</f>
        <v>0</v>
      </c>
      <c r="S48" s="367">
        <f>IF($W$2="Manual",IF(AD48=0,0,AD48*VLOOKUP($L48,$AL$8:$AM$20,2,FALSE)),IF($W$2="From Preselector",IF(OR(Output!I40=0,Output!I40=""),0,Output!I40*VLOOKUP($L48,$AL$8:$AM$20,2,FALSE)),IF($W$2="Light RCS",IF(OR('Light RCS'!I41=0,'Light RCS'!I41=""),0,'Light RCS'!I41*VLOOKUP($L48,$AL$8:$AM$20,2,FALSE)),"Data Input")))</f>
        <v>0</v>
      </c>
      <c r="T48" s="367">
        <f>IF($W$2="Manual",IF(AE48=0,0,AE48*VLOOKUP($L48,$AL$8:$AM$20,2,FALSE)),IF($W$2="From Preselector",IF(OR(Output!J40=0,Output!J40=""),0,Output!J40*VLOOKUP($L48,$AL$8:$AM$20,2,FALSE)),IF($W$2="Light RCS",IF(OR('Light RCS'!J41=0,'Light RCS'!J41=""),0,'Light RCS'!J41*VLOOKUP($L48,$AL$8:$AM$20,2,FALSE)),"Data Input")))</f>
        <v>0</v>
      </c>
      <c r="U48" s="368">
        <f>IF($W$2="Manual",IF(AF48=0,0,AF48*VLOOKUP($L48,$AL$8:$AM$20,2,FALSE)),IF($W$2="From Preselector",IF(OR(Output!K40=0,Output!K40=""),0,Output!K40*VLOOKUP($L48,$AL$8:$AM$20,2,FALSE)),IF($W$2="Light RCS",IF(OR('Light RCS'!K41=0,'Light RCS'!K41=""),0,'Light RCS'!K41*VLOOKUP($L48,$AL$8:$AM$20,2,FALSE)),"Data Input")))</f>
        <v>0</v>
      </c>
      <c r="V48" s="303"/>
      <c r="W48" s="393" t="s">
        <v>627</v>
      </c>
      <c r="X48" s="414"/>
      <c r="Y48" s="414"/>
      <c r="Z48" s="414"/>
      <c r="AA48" s="414"/>
      <c r="AB48" s="414"/>
      <c r="AC48" s="435"/>
      <c r="AD48" s="435"/>
      <c r="AE48" s="435"/>
      <c r="AF48" s="415"/>
    </row>
    <row r="49" spans="1:32" ht="13" thickBot="1">
      <c r="A49" s="318">
        <f t="shared" si="0"/>
        <v>43</v>
      </c>
      <c r="B49" s="319"/>
      <c r="C49" s="412" t="s">
        <v>439</v>
      </c>
      <c r="D49" s="309"/>
      <c r="E49" s="309"/>
      <c r="F49" s="309"/>
      <c r="G49" s="309"/>
      <c r="H49" s="309"/>
      <c r="I49" s="309"/>
      <c r="J49" s="309"/>
      <c r="K49" s="309"/>
      <c r="L49" s="413" t="str">
        <f>L48</f>
        <v>daN</v>
      </c>
      <c r="M49" s="367">
        <f>IF($W$2="Manual",IF(X49=0,0,X49*VLOOKUP($L49,$AL$8:$AM$20,2,FALSE)),IF($W$2="From Preselector",IF(OR(Output!C41=0,Output!C41=""),0,Output!C41*VLOOKUP($L49,$AL$8:$AM$20,2,FALSE)),IF($W$2="Light RCS",IF(OR('Light RCS'!C42=0,'Light RCS'!C42=""),0,'Light RCS'!C42*VLOOKUP($L48,$AL$8:$AM$20,2,FALSE)),"Data Input")))</f>
        <v>11794.9</v>
      </c>
      <c r="N49" s="367">
        <f>IF($W$2="Manual",IF(Y49=0,0,Y49*VLOOKUP($L49,$AL$8:$AM$20,2,FALSE)),IF($W$2="From Preselector",IF(OR(Output!D41=0,Output!D41=""),0,Output!D41*VLOOKUP($L49,$AL$8:$AM$20,2,FALSE)),IF($W$2="Light RCS",IF(OR('Light RCS'!D42=0,'Light RCS'!D42=""),0,'Light RCS'!D42*VLOOKUP($L48,$AL$8:$AM$20,2,FALSE)),"Data Input")))</f>
        <v>8945.5400000000009</v>
      </c>
      <c r="O49" s="367">
        <f>IF($W$2="Manual",IF(Z49=0,0,Z49*VLOOKUP($L49,$AL$8:$AM$20,2,FALSE)),IF($W$2="From Preselector",IF(OR(Output!E41=0,Output!E41=""),0,Output!E41*VLOOKUP($L49,$AL$8:$AM$20,2,FALSE)),IF($W$2="Light RCS",IF(OR('Light RCS'!E42=0,'Light RCS'!E42=""),0,'Light RCS'!E42*VLOOKUP($L48,$AL$8:$AM$20,2,FALSE)),"Data Input")))</f>
        <v>0</v>
      </c>
      <c r="P49" s="367">
        <f>IF($W$2="Manual",IF(AA49=0,0,AA49*VLOOKUP($L49,$AL$8:$AM$20,2,FALSE)),IF($W$2="From Preselector",IF(OR(Output!F41=0,Output!F41=""),0,Output!F41*VLOOKUP($L49,$AL$8:$AM$20,2,FALSE)),IF($W$2="Light RCS",IF(OR('Light RCS'!F42=0,'Light RCS'!F42=""),0,'Light RCS'!F42*VLOOKUP($L48,$AL$8:$AM$20,2,FALSE)),"Data Input")))</f>
        <v>0</v>
      </c>
      <c r="Q49" s="367">
        <f>IF($W$2="Manual",IF(AB49=0,0,AB49*VLOOKUP($L49,$AL$8:$AM$20,2,FALSE)),IF($W$2="From Preselector",IF(OR(Output!G41=0,Output!G41=""),0,Output!G41*VLOOKUP($L49,$AL$8:$AM$20,2,FALSE)),IF($W$2="Light RCS",IF(OR('Light RCS'!G42=0,'Light RCS'!G42=""),0,'Light RCS'!G42*VLOOKUP($L48,$AL$8:$AM$20,2,FALSE)),"Data Input")))</f>
        <v>0</v>
      </c>
      <c r="R49" s="367">
        <f>IF($W$2="Manual",IF(AC49=0,0,AC49*VLOOKUP($L49,$AL$8:$AM$20,2,FALSE)),IF($W$2="From Preselector",IF(OR(Output!H41=0,Output!H41=""),0,Output!H41*VLOOKUP($L49,$AL$8:$AM$20,2,FALSE)),IF($W$2="Light RCS",IF(OR('Light RCS'!H42=0,'Light RCS'!H42=""),0,'Light RCS'!H42*VLOOKUP($L48,$AL$8:$AM$20,2,FALSE)),"Data Input")))</f>
        <v>0</v>
      </c>
      <c r="S49" s="367">
        <f>IF($W$2="Manual",IF(AD49=0,0,AD49*VLOOKUP($L49,$AL$8:$AM$20,2,FALSE)),IF($W$2="From Preselector",IF(OR(Output!I41=0,Output!I41=""),0,Output!I41*VLOOKUP($L49,$AL$8:$AM$20,2,FALSE)),IF($W$2="Light RCS",IF(OR('Light RCS'!I42=0,'Light RCS'!I42=""),0,'Light RCS'!I42*VLOOKUP($L48,$AL$8:$AM$20,2,FALSE)),"Data Input")))</f>
        <v>0</v>
      </c>
      <c r="T49" s="367">
        <f>IF($W$2="Manual",IF(AE49=0,0,AE49*VLOOKUP($L49,$AL$8:$AM$20,2,FALSE)),IF($W$2="From Preselector",IF(OR(Output!J41=0,Output!J41=""),0,Output!J41*VLOOKUP($L49,$AL$8:$AM$20,2,FALSE)),IF($W$2="Light RCS",IF(OR('Light RCS'!J42=0,'Light RCS'!J42=""),0,'Light RCS'!J42*VLOOKUP($L48,$AL$8:$AM$20,2,FALSE)),"Data Input")))</f>
        <v>0</v>
      </c>
      <c r="U49" s="368">
        <f>IF($W$2="Manual",IF(AF49=0,0,AF49*VLOOKUP($L49,$AL$8:$AM$20,2,FALSE)),IF($W$2="From Preselector",IF(OR(Output!K41=0,Output!K41=""),0,Output!K41*VLOOKUP($L49,$AL$8:$AM$20,2,FALSE)),IF($W$2="Light RCS",IF(OR('Light RCS'!K42=0,'Light RCS'!K42=""),0,'Light RCS'!K42*VLOOKUP($L48,$AL$8:$AM$20,2,FALSE)),"Data Input")))</f>
        <v>0</v>
      </c>
      <c r="V49" s="303"/>
      <c r="W49" s="376" t="s">
        <v>628</v>
      </c>
      <c r="X49" s="416"/>
      <c r="Y49" s="416"/>
      <c r="Z49" s="416"/>
      <c r="AA49" s="416"/>
      <c r="AB49" s="416"/>
      <c r="AC49" s="377"/>
      <c r="AD49" s="377"/>
      <c r="AE49" s="377"/>
      <c r="AF49" s="417"/>
    </row>
    <row r="50" spans="1:32" ht="13" thickTop="1">
      <c r="A50" s="318">
        <f t="shared" si="0"/>
        <v>44</v>
      </c>
      <c r="B50" s="418"/>
      <c r="C50" s="309"/>
      <c r="D50" s="309"/>
      <c r="E50" s="309"/>
      <c r="F50" s="309"/>
      <c r="G50" s="309"/>
      <c r="H50" s="309"/>
      <c r="I50" s="309"/>
      <c r="J50" s="309"/>
      <c r="K50" s="309"/>
      <c r="L50" s="309"/>
      <c r="M50" s="309"/>
      <c r="N50" s="309"/>
      <c r="O50" s="309"/>
      <c r="P50" s="309"/>
      <c r="Q50" s="309"/>
      <c r="R50" s="309"/>
      <c r="S50" s="276"/>
      <c r="T50" s="275"/>
      <c r="U50" s="278"/>
      <c r="V50" s="303"/>
      <c r="X50" s="320"/>
      <c r="Y50" s="320"/>
      <c r="Z50" s="320"/>
      <c r="AA50" s="320"/>
      <c r="AB50" s="320"/>
      <c r="AC50" s="320"/>
      <c r="AD50" s="320"/>
      <c r="AE50" s="320"/>
      <c r="AF50" s="320"/>
    </row>
    <row r="51" spans="1:32">
      <c r="A51" s="315">
        <f t="shared" si="0"/>
        <v>45</v>
      </c>
      <c r="B51" s="381"/>
      <c r="C51" s="317" t="s">
        <v>440</v>
      </c>
      <c r="D51" s="382"/>
      <c r="E51" s="382"/>
      <c r="F51" s="382"/>
      <c r="G51" s="382"/>
      <c r="H51" s="382" t="s">
        <v>441</v>
      </c>
      <c r="I51" s="382"/>
      <c r="J51" s="382"/>
      <c r="K51" s="382"/>
      <c r="L51" s="382"/>
      <c r="M51" s="382"/>
      <c r="N51" s="382"/>
      <c r="O51" s="382"/>
      <c r="P51" s="382"/>
      <c r="Q51" s="382"/>
      <c r="R51" s="382"/>
      <c r="S51" s="273"/>
      <c r="T51" s="275"/>
      <c r="U51" s="278"/>
      <c r="V51" s="303"/>
      <c r="Y51" s="320"/>
      <c r="Z51" s="320"/>
      <c r="AA51" s="320"/>
      <c r="AB51" s="320"/>
      <c r="AC51" s="320"/>
      <c r="AD51" s="320"/>
      <c r="AE51" s="320"/>
      <c r="AF51" s="320"/>
    </row>
    <row r="52" spans="1:32">
      <c r="A52" s="318">
        <f t="shared" si="0"/>
        <v>46</v>
      </c>
      <c r="B52" s="418"/>
      <c r="C52" s="309" t="s">
        <v>442</v>
      </c>
      <c r="D52" s="309"/>
      <c r="E52" s="309"/>
      <c r="F52" s="309"/>
      <c r="G52" s="309"/>
      <c r="H52" s="309"/>
      <c r="I52" s="309"/>
      <c r="J52" s="309"/>
      <c r="K52" s="309"/>
      <c r="L52" s="309"/>
      <c r="M52" s="419" t="s">
        <v>668</v>
      </c>
      <c r="N52" s="419" t="s">
        <v>668</v>
      </c>
      <c r="O52" s="419"/>
      <c r="P52" s="419"/>
      <c r="Q52" s="419"/>
      <c r="R52" s="419"/>
      <c r="S52" s="419"/>
      <c r="T52" s="419"/>
      <c r="U52" s="420"/>
      <c r="V52" s="303"/>
      <c r="Y52" s="320"/>
      <c r="Z52" s="320"/>
      <c r="AA52" s="320"/>
      <c r="AB52" s="320"/>
      <c r="AC52" s="320"/>
      <c r="AD52" s="320"/>
      <c r="AE52" s="320"/>
      <c r="AF52" s="320"/>
    </row>
    <row r="53" spans="1:32">
      <c r="A53" s="318">
        <f t="shared" si="0"/>
        <v>47</v>
      </c>
      <c r="B53" s="418"/>
      <c r="C53" s="309" t="s">
        <v>443</v>
      </c>
      <c r="D53" s="309"/>
      <c r="E53" s="309"/>
      <c r="F53" s="309"/>
      <c r="G53" s="309"/>
      <c r="H53" s="309"/>
      <c r="I53" s="309"/>
      <c r="J53" s="309"/>
      <c r="K53" s="309"/>
      <c r="L53" s="309"/>
      <c r="M53" s="421" t="s">
        <v>670</v>
      </c>
      <c r="N53" s="421" t="s">
        <v>670</v>
      </c>
      <c r="O53" s="421"/>
      <c r="P53" s="421"/>
      <c r="Q53" s="421"/>
      <c r="R53" s="421"/>
      <c r="S53" s="421"/>
      <c r="T53" s="421"/>
      <c r="U53" s="422"/>
      <c r="V53" s="303"/>
      <c r="Y53" s="320"/>
      <c r="Z53" s="320"/>
      <c r="AA53" s="320"/>
      <c r="AB53" s="320"/>
      <c r="AC53" s="320"/>
      <c r="AD53" s="320"/>
      <c r="AE53" s="320"/>
      <c r="AF53" s="320"/>
    </row>
    <row r="54" spans="1:32">
      <c r="A54" s="318">
        <f t="shared" si="0"/>
        <v>48</v>
      </c>
      <c r="B54" s="418"/>
      <c r="C54" s="309" t="s">
        <v>444</v>
      </c>
      <c r="D54" s="309"/>
      <c r="E54" s="309"/>
      <c r="F54" s="309"/>
      <c r="G54" s="309"/>
      <c r="H54" s="309"/>
      <c r="I54" s="309"/>
      <c r="J54" s="309"/>
      <c r="K54" s="309"/>
      <c r="L54" s="309"/>
      <c r="M54" s="421" t="s">
        <v>1056</v>
      </c>
      <c r="N54" s="421" t="s">
        <v>1056</v>
      </c>
      <c r="O54" s="421"/>
      <c r="P54" s="421"/>
      <c r="Q54" s="421"/>
      <c r="R54" s="421"/>
      <c r="S54" s="421"/>
      <c r="T54" s="421"/>
      <c r="U54" s="422"/>
      <c r="V54" s="303"/>
      <c r="Y54" s="320"/>
      <c r="Z54" s="320"/>
      <c r="AA54" s="320"/>
      <c r="AB54" s="320"/>
      <c r="AC54" s="320"/>
      <c r="AD54" s="320"/>
      <c r="AE54" s="320"/>
      <c r="AF54" s="320"/>
    </row>
    <row r="55" spans="1:32">
      <c r="A55" s="318">
        <f t="shared" si="0"/>
        <v>49</v>
      </c>
      <c r="B55" s="418"/>
      <c r="C55" s="309" t="s">
        <v>445</v>
      </c>
      <c r="D55" s="309"/>
      <c r="E55" s="309"/>
      <c r="F55" s="309"/>
      <c r="G55" s="309"/>
      <c r="H55" s="309"/>
      <c r="I55" s="309"/>
      <c r="J55" s="309"/>
      <c r="K55" s="309"/>
      <c r="L55" s="309"/>
      <c r="M55" s="421" t="s">
        <v>1057</v>
      </c>
      <c r="N55" s="421" t="s">
        <v>1057</v>
      </c>
      <c r="O55" s="421"/>
      <c r="P55" s="421"/>
      <c r="Q55" s="421"/>
      <c r="R55" s="421"/>
      <c r="S55" s="421"/>
      <c r="T55" s="421"/>
      <c r="U55" s="422"/>
      <c r="V55" s="303"/>
      <c r="Y55" s="320"/>
      <c r="Z55" s="320"/>
      <c r="AA55" s="320"/>
      <c r="AB55" s="320"/>
      <c r="AC55" s="320"/>
      <c r="AD55" s="320"/>
      <c r="AE55" s="320"/>
      <c r="AF55" s="320"/>
    </row>
    <row r="56" spans="1:32">
      <c r="A56" s="318">
        <f t="shared" si="0"/>
        <v>50</v>
      </c>
      <c r="B56" s="418"/>
      <c r="C56" s="423"/>
      <c r="D56" s="309"/>
      <c r="E56" s="309"/>
      <c r="F56" s="309"/>
      <c r="G56" s="309"/>
      <c r="H56" s="309"/>
      <c r="I56" s="309"/>
      <c r="J56" s="309"/>
      <c r="K56" s="309"/>
      <c r="L56" s="309"/>
      <c r="M56" s="309"/>
      <c r="N56" s="309"/>
      <c r="O56" s="309"/>
      <c r="P56" s="309"/>
      <c r="Q56" s="309"/>
      <c r="R56" s="309"/>
      <c r="S56" s="272"/>
      <c r="T56" s="272"/>
      <c r="U56" s="520"/>
      <c r="V56" s="303"/>
      <c r="W56" s="304"/>
      <c r="X56" s="320"/>
      <c r="Y56" s="320"/>
      <c r="Z56" s="320"/>
      <c r="AA56" s="320"/>
      <c r="AB56" s="320"/>
      <c r="AC56" s="320"/>
      <c r="AD56" s="320"/>
      <c r="AE56" s="320"/>
      <c r="AF56" s="305"/>
    </row>
    <row r="57" spans="1:32">
      <c r="A57" s="318">
        <f t="shared" si="0"/>
        <v>51</v>
      </c>
      <c r="B57" s="418"/>
      <c r="C57" s="309" t="s">
        <v>446</v>
      </c>
      <c r="D57" s="309"/>
      <c r="E57" s="309"/>
      <c r="F57" s="309"/>
      <c r="G57" s="309"/>
      <c r="H57" s="309"/>
      <c r="I57" s="309"/>
      <c r="J57" s="309"/>
      <c r="K57" s="309"/>
      <c r="L57" s="309"/>
      <c r="M57" s="309"/>
      <c r="N57" s="309"/>
      <c r="O57" s="309"/>
      <c r="P57" s="309"/>
      <c r="Q57" s="309"/>
      <c r="R57" s="309"/>
      <c r="S57" s="272"/>
      <c r="T57" s="272"/>
      <c r="U57" s="520"/>
      <c r="V57" s="303"/>
      <c r="W57" s="304"/>
      <c r="X57" s="320"/>
      <c r="Y57" s="320"/>
      <c r="Z57" s="320"/>
      <c r="AA57" s="320"/>
      <c r="AB57" s="320"/>
      <c r="AC57" s="320"/>
      <c r="AD57" s="320"/>
      <c r="AE57" s="320"/>
      <c r="AF57" s="305"/>
    </row>
    <row r="58" spans="1:32">
      <c r="A58" s="318">
        <f t="shared" si="0"/>
        <v>52</v>
      </c>
      <c r="B58" s="418"/>
      <c r="C58" s="309" t="s">
        <v>447</v>
      </c>
      <c r="D58" s="309"/>
      <c r="E58" s="309"/>
      <c r="F58" s="309"/>
      <c r="G58" s="309"/>
      <c r="H58" s="309"/>
      <c r="I58" s="309"/>
      <c r="J58" s="309"/>
      <c r="K58" s="309"/>
      <c r="L58" s="309"/>
      <c r="M58" s="309"/>
      <c r="N58" s="309"/>
      <c r="O58" s="309"/>
      <c r="P58" s="309"/>
      <c r="Q58" s="309"/>
      <c r="R58" s="309"/>
      <c r="S58" s="272"/>
      <c r="T58" s="272"/>
      <c r="U58" s="520"/>
      <c r="V58" s="303"/>
      <c r="W58" s="304"/>
      <c r="X58" s="320"/>
      <c r="Y58" s="320"/>
      <c r="Z58" s="320"/>
      <c r="AA58" s="320"/>
      <c r="AB58" s="320"/>
      <c r="AC58" s="320"/>
      <c r="AD58" s="320"/>
      <c r="AE58" s="320"/>
      <c r="AF58" s="305"/>
    </row>
    <row r="59" spans="1:32">
      <c r="A59" s="318">
        <f t="shared" si="0"/>
        <v>53</v>
      </c>
      <c r="B59" s="418"/>
      <c r="C59" s="309"/>
      <c r="D59" s="309"/>
      <c r="E59" s="309"/>
      <c r="F59" s="309"/>
      <c r="G59" s="309"/>
      <c r="H59" s="309"/>
      <c r="I59" s="309"/>
      <c r="J59" s="309"/>
      <c r="K59" s="309"/>
      <c r="L59" s="309"/>
      <c r="M59" s="309"/>
      <c r="N59" s="309"/>
      <c r="O59" s="309"/>
      <c r="P59" s="309"/>
      <c r="Q59" s="309"/>
      <c r="R59" s="309"/>
      <c r="S59" s="272"/>
      <c r="T59" s="272"/>
      <c r="U59" s="520"/>
      <c r="V59" s="303"/>
      <c r="W59" s="304"/>
      <c r="X59" s="320"/>
      <c r="Y59" s="320"/>
      <c r="Z59" s="320"/>
      <c r="AA59" s="320"/>
      <c r="AB59" s="320"/>
      <c r="AC59" s="320"/>
      <c r="AD59" s="320"/>
      <c r="AE59" s="320"/>
      <c r="AF59" s="305"/>
    </row>
    <row r="60" spans="1:32">
      <c r="A60" s="318">
        <f t="shared" si="0"/>
        <v>54</v>
      </c>
      <c r="B60" s="418"/>
      <c r="C60" s="423" t="s">
        <v>448</v>
      </c>
      <c r="D60" s="309"/>
      <c r="E60" s="309"/>
      <c r="F60" s="309"/>
      <c r="G60" s="309"/>
      <c r="H60" s="309"/>
      <c r="I60" s="309"/>
      <c r="J60" s="309"/>
      <c r="K60" s="309"/>
      <c r="L60" s="309"/>
      <c r="M60" s="309"/>
      <c r="N60" s="309"/>
      <c r="O60" s="309"/>
      <c r="P60" s="309"/>
      <c r="Q60" s="309"/>
      <c r="R60" s="309"/>
      <c r="S60" s="272"/>
      <c r="T60" s="272"/>
      <c r="U60" s="520"/>
      <c r="V60" s="303"/>
      <c r="W60" s="304"/>
      <c r="X60" s="320"/>
      <c r="Y60" s="320"/>
      <c r="Z60" s="320"/>
      <c r="AA60" s="320"/>
      <c r="AB60" s="320"/>
      <c r="AC60" s="320"/>
      <c r="AD60" s="320"/>
      <c r="AE60" s="320"/>
      <c r="AF60" s="305"/>
    </row>
    <row r="61" spans="1:32">
      <c r="A61" s="318">
        <f t="shared" si="0"/>
        <v>55</v>
      </c>
      <c r="B61" s="418"/>
      <c r="C61" s="813" t="s">
        <v>449</v>
      </c>
      <c r="D61" s="814"/>
      <c r="E61" s="814"/>
      <c r="F61" s="814"/>
      <c r="G61" s="814"/>
      <c r="H61" s="814"/>
      <c r="I61" s="814"/>
      <c r="J61" s="814"/>
      <c r="K61" s="814"/>
      <c r="L61" s="814"/>
      <c r="M61" s="814"/>
      <c r="N61" s="814"/>
      <c r="O61" s="814"/>
      <c r="P61" s="814"/>
      <c r="Q61" s="814"/>
      <c r="R61" s="814"/>
      <c r="S61" s="814"/>
      <c r="T61" s="814"/>
      <c r="U61" s="815"/>
      <c r="V61" s="303"/>
      <c r="W61" s="304"/>
      <c r="X61" s="320"/>
      <c r="Y61" s="320"/>
      <c r="Z61" s="320"/>
      <c r="AA61" s="320"/>
      <c r="AB61" s="320"/>
      <c r="AC61" s="320"/>
      <c r="AD61" s="320"/>
      <c r="AE61" s="320"/>
      <c r="AF61" s="305"/>
    </row>
    <row r="62" spans="1:32">
      <c r="A62" s="318">
        <f t="shared" si="0"/>
        <v>56</v>
      </c>
      <c r="B62" s="418"/>
      <c r="C62" s="813"/>
      <c r="D62" s="814"/>
      <c r="E62" s="814"/>
      <c r="F62" s="814"/>
      <c r="G62" s="814"/>
      <c r="H62" s="814"/>
      <c r="I62" s="814"/>
      <c r="J62" s="814"/>
      <c r="K62" s="814"/>
      <c r="L62" s="814"/>
      <c r="M62" s="814"/>
      <c r="N62" s="814"/>
      <c r="O62" s="814"/>
      <c r="P62" s="814"/>
      <c r="Q62" s="814"/>
      <c r="R62" s="814"/>
      <c r="S62" s="814"/>
      <c r="T62" s="814"/>
      <c r="U62" s="815"/>
      <c r="V62" s="303"/>
      <c r="W62" s="304"/>
      <c r="X62" s="320"/>
      <c r="Y62" s="320"/>
      <c r="Z62" s="320"/>
      <c r="AA62" s="320"/>
      <c r="AB62" s="320"/>
      <c r="AC62" s="320"/>
      <c r="AD62" s="320"/>
      <c r="AE62" s="320"/>
      <c r="AF62" s="305"/>
    </row>
    <row r="63" spans="1:32">
      <c r="A63" s="318">
        <f t="shared" si="0"/>
        <v>57</v>
      </c>
      <c r="B63" s="418"/>
      <c r="C63" s="813"/>
      <c r="D63" s="814"/>
      <c r="E63" s="814"/>
      <c r="F63" s="814"/>
      <c r="G63" s="814"/>
      <c r="H63" s="814"/>
      <c r="I63" s="814"/>
      <c r="J63" s="814"/>
      <c r="K63" s="814"/>
      <c r="L63" s="814"/>
      <c r="M63" s="814"/>
      <c r="N63" s="814"/>
      <c r="O63" s="814"/>
      <c r="P63" s="814"/>
      <c r="Q63" s="814"/>
      <c r="R63" s="814"/>
      <c r="S63" s="814"/>
      <c r="T63" s="814"/>
      <c r="U63" s="815"/>
      <c r="V63" s="303"/>
      <c r="W63" s="304"/>
      <c r="AF63" s="305"/>
    </row>
    <row r="64" spans="1:32">
      <c r="A64" s="318">
        <f t="shared" si="0"/>
        <v>58</v>
      </c>
      <c r="B64" s="418"/>
      <c r="C64" s="813"/>
      <c r="D64" s="814"/>
      <c r="E64" s="814"/>
      <c r="F64" s="814"/>
      <c r="G64" s="814"/>
      <c r="H64" s="814"/>
      <c r="I64" s="814"/>
      <c r="J64" s="814"/>
      <c r="K64" s="814"/>
      <c r="L64" s="814"/>
      <c r="M64" s="814"/>
      <c r="N64" s="814"/>
      <c r="O64" s="814"/>
      <c r="P64" s="814"/>
      <c r="Q64" s="814"/>
      <c r="R64" s="814"/>
      <c r="S64" s="814"/>
      <c r="T64" s="814"/>
      <c r="U64" s="815"/>
      <c r="V64" s="303"/>
      <c r="W64" s="304"/>
      <c r="X64" s="320"/>
      <c r="Y64" s="320"/>
      <c r="Z64" s="320"/>
      <c r="AA64" s="320"/>
      <c r="AB64" s="320"/>
      <c r="AC64" s="320"/>
      <c r="AD64" s="320"/>
      <c r="AE64" s="320"/>
      <c r="AF64" s="305"/>
    </row>
    <row r="65" spans="1:32">
      <c r="A65" s="424">
        <f t="shared" si="0"/>
        <v>59</v>
      </c>
      <c r="B65" s="425"/>
      <c r="C65" s="816"/>
      <c r="D65" s="817"/>
      <c r="E65" s="817"/>
      <c r="F65" s="817"/>
      <c r="G65" s="817"/>
      <c r="H65" s="817"/>
      <c r="I65" s="817"/>
      <c r="J65" s="817"/>
      <c r="K65" s="817"/>
      <c r="L65" s="817"/>
      <c r="M65" s="817"/>
      <c r="N65" s="817"/>
      <c r="O65" s="817"/>
      <c r="P65" s="817"/>
      <c r="Q65" s="817"/>
      <c r="R65" s="817"/>
      <c r="S65" s="817"/>
      <c r="T65" s="817"/>
      <c r="U65" s="818"/>
      <c r="V65" s="303"/>
      <c r="W65" s="304"/>
      <c r="AF65" s="305"/>
    </row>
    <row r="66" spans="1:32" ht="13">
      <c r="A66" s="458"/>
      <c r="B66" s="458"/>
      <c r="C66" s="458"/>
      <c r="D66" s="458"/>
      <c r="E66" s="458"/>
      <c r="F66" s="458"/>
      <c r="G66" s="458"/>
      <c r="H66" s="458"/>
      <c r="I66" s="458"/>
      <c r="J66" s="458"/>
      <c r="K66" s="458"/>
      <c r="L66" s="458"/>
      <c r="M66" s="458"/>
      <c r="N66" s="458"/>
      <c r="O66" s="458"/>
      <c r="P66" s="458"/>
      <c r="Q66" s="458"/>
      <c r="R66" s="458"/>
      <c r="S66" s="522"/>
      <c r="T66" s="522"/>
      <c r="U66" s="522"/>
      <c r="W66" s="304"/>
      <c r="AF66" s="305"/>
    </row>
    <row r="67" spans="1:32" ht="13">
      <c r="A67" s="458"/>
      <c r="B67" s="458"/>
      <c r="C67" s="458"/>
      <c r="D67" s="458"/>
      <c r="E67" s="458"/>
      <c r="F67" s="458"/>
      <c r="G67" s="458"/>
      <c r="H67" s="458"/>
      <c r="I67" s="458"/>
      <c r="J67" s="458"/>
      <c r="K67" s="458"/>
      <c r="L67" s="458"/>
      <c r="M67" s="458"/>
      <c r="N67" s="458"/>
      <c r="O67" s="458"/>
      <c r="P67" s="458"/>
      <c r="Q67" s="458"/>
      <c r="R67" s="458"/>
      <c r="S67" s="522"/>
      <c r="T67" s="522"/>
      <c r="U67" s="522"/>
    </row>
    <row r="68" spans="1:32" ht="13">
      <c r="A68" s="458"/>
      <c r="B68" s="458"/>
      <c r="C68" s="458"/>
      <c r="D68" s="458"/>
      <c r="E68" s="458"/>
      <c r="F68" s="458"/>
      <c r="G68" s="458"/>
      <c r="H68" s="458"/>
      <c r="I68" s="458"/>
      <c r="J68" s="458"/>
      <c r="K68" s="458"/>
      <c r="L68" s="458"/>
      <c r="M68" s="458"/>
      <c r="N68" s="458"/>
      <c r="O68" s="458"/>
      <c r="P68" s="458"/>
      <c r="Q68" s="458"/>
      <c r="R68" s="458"/>
      <c r="S68" s="522"/>
      <c r="T68" s="522"/>
      <c r="U68" s="522"/>
    </row>
    <row r="69" spans="1:32" ht="13">
      <c r="A69" s="458"/>
      <c r="B69" s="458"/>
      <c r="C69" s="458"/>
      <c r="D69" s="458"/>
      <c r="E69" s="458"/>
      <c r="F69" s="458"/>
      <c r="G69" s="458"/>
      <c r="H69" s="458"/>
      <c r="I69" s="458"/>
      <c r="J69" s="458"/>
      <c r="K69" s="458"/>
      <c r="L69" s="458"/>
      <c r="M69" s="458"/>
      <c r="N69" s="458"/>
      <c r="O69" s="458"/>
      <c r="P69" s="458"/>
      <c r="Q69" s="458"/>
      <c r="R69" s="458"/>
      <c r="S69" s="522"/>
      <c r="T69" s="522"/>
      <c r="U69" s="522"/>
    </row>
    <row r="70" spans="1:32" ht="13">
      <c r="A70" s="458"/>
      <c r="B70" s="458"/>
      <c r="C70" s="458"/>
      <c r="D70" s="458"/>
      <c r="E70" s="458"/>
      <c r="F70" s="458"/>
      <c r="G70" s="458"/>
      <c r="H70" s="458"/>
      <c r="I70" s="458"/>
      <c r="J70" s="458"/>
      <c r="K70" s="458"/>
      <c r="L70" s="458"/>
      <c r="M70" s="458"/>
      <c r="N70" s="458"/>
      <c r="O70" s="458"/>
      <c r="P70" s="458"/>
      <c r="Q70" s="458"/>
      <c r="R70" s="458"/>
      <c r="S70" s="522"/>
      <c r="T70" s="522"/>
      <c r="U70" s="522"/>
    </row>
    <row r="71" spans="1:32" ht="13">
      <c r="A71" s="458"/>
      <c r="B71" s="458"/>
      <c r="C71" s="458"/>
      <c r="D71" s="458"/>
      <c r="E71" s="458"/>
      <c r="F71" s="458"/>
      <c r="G71" s="458"/>
      <c r="H71" s="458"/>
      <c r="I71" s="458"/>
      <c r="J71" s="458"/>
      <c r="K71" s="458"/>
      <c r="L71" s="458"/>
      <c r="M71" s="458"/>
      <c r="N71" s="458"/>
      <c r="O71" s="458"/>
      <c r="P71" s="458"/>
      <c r="Q71" s="458"/>
      <c r="R71" s="458"/>
      <c r="S71" s="522"/>
      <c r="T71" s="522"/>
      <c r="U71" s="522"/>
    </row>
    <row r="72" spans="1:32" ht="13">
      <c r="A72" s="458"/>
      <c r="B72" s="458"/>
      <c r="C72" s="458"/>
      <c r="D72" s="458"/>
      <c r="E72" s="458"/>
      <c r="F72" s="458"/>
      <c r="G72" s="458"/>
      <c r="H72" s="458"/>
      <c r="I72" s="458"/>
      <c r="J72" s="458"/>
      <c r="K72" s="458"/>
      <c r="L72" s="458"/>
      <c r="M72" s="458"/>
      <c r="N72" s="458"/>
      <c r="O72" s="458"/>
      <c r="P72" s="458"/>
      <c r="Q72" s="458"/>
      <c r="R72" s="458"/>
      <c r="S72" s="522"/>
      <c r="T72" s="522"/>
      <c r="U72" s="522"/>
    </row>
    <row r="73" spans="1:32" ht="13">
      <c r="A73" s="458"/>
      <c r="B73" s="458"/>
      <c r="C73" s="458"/>
      <c r="D73" s="458"/>
      <c r="E73" s="458"/>
      <c r="F73" s="458"/>
      <c r="G73" s="458"/>
      <c r="H73" s="458"/>
      <c r="I73" s="458"/>
      <c r="J73" s="458"/>
      <c r="K73" s="458"/>
      <c r="L73" s="458"/>
      <c r="M73" s="458"/>
      <c r="N73" s="458"/>
      <c r="O73" s="458"/>
      <c r="P73" s="458"/>
      <c r="Q73" s="458"/>
      <c r="R73" s="458"/>
      <c r="S73" s="522"/>
      <c r="T73" s="522"/>
      <c r="U73" s="522"/>
    </row>
    <row r="74" spans="1:32" ht="13">
      <c r="A74" s="458"/>
      <c r="B74" s="458"/>
      <c r="C74" s="458"/>
      <c r="D74" s="458"/>
      <c r="E74" s="458"/>
      <c r="F74" s="458"/>
      <c r="G74" s="458"/>
      <c r="H74" s="458"/>
      <c r="I74" s="458"/>
      <c r="J74" s="458"/>
      <c r="K74" s="458"/>
      <c r="L74" s="458"/>
      <c r="M74" s="458"/>
      <c r="N74" s="458"/>
      <c r="O74" s="458"/>
      <c r="P74" s="458"/>
      <c r="Q74" s="458"/>
      <c r="R74" s="458"/>
      <c r="S74" s="522"/>
      <c r="T74" s="522"/>
      <c r="U74" s="522"/>
    </row>
    <row r="75" spans="1:32" ht="13">
      <c r="A75" s="458"/>
      <c r="B75" s="458"/>
      <c r="C75" s="458"/>
      <c r="D75" s="458"/>
      <c r="E75" s="458"/>
      <c r="F75" s="458"/>
      <c r="G75" s="458"/>
      <c r="H75" s="458"/>
      <c r="I75" s="458"/>
      <c r="J75" s="458"/>
      <c r="K75" s="458"/>
      <c r="L75" s="458"/>
      <c r="M75" s="458"/>
      <c r="N75" s="458"/>
      <c r="O75" s="458"/>
      <c r="P75" s="458"/>
      <c r="Q75" s="458"/>
      <c r="R75" s="458"/>
      <c r="S75" s="522"/>
      <c r="T75" s="522"/>
      <c r="U75" s="522"/>
    </row>
    <row r="76" spans="1:32" ht="13">
      <c r="A76" s="458"/>
      <c r="B76" s="458"/>
      <c r="C76" s="458"/>
      <c r="D76" s="458"/>
      <c r="E76" s="458"/>
      <c r="F76" s="458"/>
      <c r="G76" s="458"/>
      <c r="H76" s="458"/>
      <c r="I76" s="458"/>
      <c r="J76" s="458"/>
      <c r="K76" s="458"/>
      <c r="L76" s="458"/>
      <c r="M76" s="458"/>
      <c r="N76" s="458"/>
      <c r="O76" s="458"/>
      <c r="P76" s="458"/>
      <c r="Q76" s="458"/>
      <c r="R76" s="458"/>
      <c r="S76" s="522"/>
      <c r="T76" s="522"/>
      <c r="U76" s="522"/>
    </row>
    <row r="77" spans="1:32" ht="13">
      <c r="A77" s="458"/>
      <c r="B77" s="458"/>
      <c r="C77" s="458"/>
      <c r="D77" s="458"/>
      <c r="E77" s="458"/>
      <c r="F77" s="458"/>
      <c r="G77" s="458"/>
      <c r="H77" s="458"/>
      <c r="I77" s="458"/>
      <c r="J77" s="458"/>
      <c r="K77" s="458"/>
      <c r="L77" s="458"/>
      <c r="M77" s="458"/>
      <c r="N77" s="458"/>
      <c r="O77" s="458"/>
      <c r="P77" s="458"/>
      <c r="Q77" s="458"/>
      <c r="R77" s="458"/>
      <c r="S77" s="522"/>
      <c r="T77" s="522"/>
      <c r="U77" s="522"/>
    </row>
    <row r="78" spans="1:32" ht="13">
      <c r="A78" s="458"/>
      <c r="B78" s="458"/>
      <c r="C78" s="458"/>
      <c r="D78" s="458"/>
      <c r="E78" s="458"/>
      <c r="F78" s="458"/>
      <c r="G78" s="458"/>
      <c r="H78" s="458"/>
      <c r="I78" s="458"/>
      <c r="J78" s="458"/>
      <c r="K78" s="458"/>
      <c r="L78" s="458"/>
      <c r="M78" s="458"/>
      <c r="N78" s="458"/>
      <c r="O78" s="458"/>
      <c r="P78" s="458"/>
      <c r="Q78" s="458"/>
      <c r="R78" s="458"/>
      <c r="S78" s="522"/>
      <c r="T78" s="522"/>
      <c r="U78" s="522"/>
    </row>
    <row r="79" spans="1:32" ht="13">
      <c r="A79" s="458"/>
      <c r="B79" s="458"/>
      <c r="C79" s="458"/>
      <c r="D79" s="458"/>
      <c r="E79" s="458"/>
      <c r="F79" s="458"/>
      <c r="G79" s="458"/>
      <c r="H79" s="458"/>
      <c r="I79" s="458"/>
      <c r="J79" s="458"/>
      <c r="K79" s="458"/>
      <c r="L79" s="458"/>
      <c r="M79" s="458"/>
      <c r="N79" s="458"/>
      <c r="O79" s="458"/>
      <c r="P79" s="458"/>
      <c r="Q79" s="458"/>
      <c r="R79" s="458"/>
      <c r="S79" s="522"/>
      <c r="T79" s="522"/>
      <c r="U79" s="522"/>
    </row>
    <row r="80" spans="1:32" ht="13">
      <c r="A80" s="458"/>
      <c r="B80" s="458"/>
      <c r="C80" s="458"/>
      <c r="D80" s="458"/>
      <c r="E80" s="458"/>
      <c r="F80" s="458"/>
      <c r="G80" s="458"/>
      <c r="H80" s="458"/>
      <c r="I80" s="458"/>
      <c r="J80" s="458"/>
      <c r="K80" s="458"/>
      <c r="L80" s="458"/>
      <c r="M80" s="458"/>
      <c r="N80" s="458"/>
      <c r="O80" s="458"/>
      <c r="P80" s="458"/>
      <c r="Q80" s="458"/>
      <c r="R80" s="458"/>
      <c r="S80" s="522"/>
      <c r="T80" s="522"/>
      <c r="U80" s="522"/>
    </row>
    <row r="81" spans="1:21" ht="13">
      <c r="A81" s="458"/>
      <c r="B81" s="458"/>
      <c r="C81" s="458"/>
      <c r="D81" s="458"/>
      <c r="E81" s="458"/>
      <c r="F81" s="458"/>
      <c r="G81" s="458"/>
      <c r="H81" s="458"/>
      <c r="I81" s="458"/>
      <c r="J81" s="458"/>
      <c r="K81" s="458"/>
      <c r="L81" s="458"/>
      <c r="M81" s="458"/>
      <c r="N81" s="458"/>
      <c r="O81" s="458"/>
      <c r="P81" s="458"/>
      <c r="Q81" s="458"/>
      <c r="R81" s="458"/>
      <c r="S81" s="522"/>
      <c r="T81" s="522"/>
      <c r="U81" s="522"/>
    </row>
    <row r="82" spans="1:21" ht="13">
      <c r="A82" s="458"/>
      <c r="B82" s="458"/>
      <c r="C82" s="458"/>
      <c r="D82" s="458"/>
      <c r="E82" s="458"/>
      <c r="F82" s="458"/>
      <c r="G82" s="458"/>
      <c r="H82" s="458"/>
      <c r="I82" s="458"/>
      <c r="J82" s="458"/>
      <c r="K82" s="458"/>
      <c r="L82" s="458"/>
      <c r="M82" s="458"/>
      <c r="N82" s="458"/>
      <c r="O82" s="458"/>
      <c r="P82" s="458"/>
      <c r="Q82" s="458"/>
      <c r="R82" s="458"/>
      <c r="S82" s="522"/>
      <c r="T82" s="522"/>
      <c r="U82" s="522"/>
    </row>
    <row r="83" spans="1:21" ht="13">
      <c r="A83" s="458"/>
      <c r="B83" s="458"/>
      <c r="C83" s="458"/>
      <c r="D83" s="458"/>
      <c r="E83" s="458"/>
      <c r="F83" s="458"/>
      <c r="G83" s="458"/>
      <c r="H83" s="458"/>
      <c r="I83" s="458"/>
      <c r="J83" s="458"/>
      <c r="K83" s="458"/>
      <c r="L83" s="458"/>
      <c r="M83" s="458"/>
      <c r="N83" s="458"/>
      <c r="O83" s="458"/>
      <c r="P83" s="458"/>
      <c r="Q83" s="458"/>
      <c r="R83" s="458"/>
      <c r="S83" s="522"/>
      <c r="T83" s="522"/>
      <c r="U83" s="522"/>
    </row>
    <row r="84" spans="1:21" ht="13">
      <c r="A84" s="458"/>
      <c r="B84" s="458"/>
      <c r="C84" s="458"/>
      <c r="D84" s="458"/>
      <c r="E84" s="458"/>
      <c r="F84" s="458"/>
      <c r="G84" s="458"/>
      <c r="H84" s="458"/>
      <c r="I84" s="458"/>
      <c r="J84" s="458"/>
      <c r="K84" s="458"/>
      <c r="L84" s="458"/>
      <c r="M84" s="458"/>
      <c r="N84" s="458"/>
      <c r="O84" s="458"/>
      <c r="P84" s="458"/>
      <c r="Q84" s="458"/>
      <c r="R84" s="458"/>
      <c r="S84" s="522"/>
      <c r="T84" s="522"/>
      <c r="U84" s="522"/>
    </row>
    <row r="85" spans="1:21" ht="13">
      <c r="A85" s="458"/>
      <c r="B85" s="458"/>
      <c r="C85" s="458"/>
      <c r="D85" s="458"/>
      <c r="E85" s="458"/>
      <c r="F85" s="458"/>
      <c r="G85" s="458"/>
      <c r="H85" s="458"/>
      <c r="I85" s="458"/>
      <c r="J85" s="458"/>
      <c r="K85" s="458"/>
      <c r="L85" s="458"/>
      <c r="M85" s="458"/>
      <c r="N85" s="458"/>
      <c r="O85" s="458"/>
      <c r="P85" s="458"/>
      <c r="Q85" s="458"/>
      <c r="R85" s="458"/>
      <c r="S85" s="522"/>
      <c r="T85" s="522"/>
      <c r="U85" s="522"/>
    </row>
    <row r="86" spans="1:21" ht="13">
      <c r="A86" s="458"/>
      <c r="B86" s="458"/>
      <c r="C86" s="458"/>
      <c r="D86" s="458"/>
      <c r="E86" s="458"/>
      <c r="F86" s="458"/>
      <c r="G86" s="458"/>
      <c r="H86" s="458"/>
      <c r="I86" s="458"/>
      <c r="J86" s="458"/>
      <c r="K86" s="458"/>
      <c r="L86" s="458"/>
      <c r="M86" s="458"/>
      <c r="N86" s="458"/>
      <c r="O86" s="458"/>
      <c r="P86" s="458"/>
      <c r="Q86" s="458"/>
      <c r="R86" s="458"/>
      <c r="S86" s="522"/>
      <c r="T86" s="522"/>
      <c r="U86" s="522"/>
    </row>
    <row r="87" spans="1:21" ht="13">
      <c r="A87" s="458"/>
      <c r="B87" s="458"/>
      <c r="C87" s="458"/>
      <c r="D87" s="458"/>
      <c r="E87" s="458"/>
      <c r="F87" s="458"/>
      <c r="G87" s="458"/>
      <c r="H87" s="458"/>
      <c r="I87" s="458"/>
      <c r="J87" s="458"/>
      <c r="K87" s="458"/>
      <c r="L87" s="458"/>
      <c r="M87" s="458"/>
      <c r="N87" s="458"/>
      <c r="O87" s="458"/>
      <c r="P87" s="458"/>
      <c r="Q87" s="458"/>
      <c r="R87" s="458"/>
      <c r="S87" s="522"/>
      <c r="T87" s="522"/>
      <c r="U87" s="522"/>
    </row>
    <row r="88" spans="1:21" ht="13">
      <c r="A88" s="458"/>
      <c r="B88" s="458"/>
      <c r="C88" s="458"/>
      <c r="D88" s="458"/>
      <c r="E88" s="458"/>
      <c r="F88" s="458"/>
      <c r="G88" s="458"/>
      <c r="H88" s="458"/>
      <c r="I88" s="458"/>
      <c r="J88" s="458"/>
      <c r="K88" s="458"/>
      <c r="L88" s="458"/>
      <c r="M88" s="458"/>
      <c r="N88" s="458"/>
      <c r="O88" s="458"/>
      <c r="P88" s="458"/>
      <c r="Q88" s="458"/>
      <c r="R88" s="458"/>
      <c r="S88" s="522"/>
      <c r="T88" s="522"/>
      <c r="U88" s="522"/>
    </row>
    <row r="89" spans="1:21" ht="13">
      <c r="A89" s="458"/>
      <c r="B89" s="458"/>
      <c r="C89" s="458"/>
      <c r="D89" s="458"/>
      <c r="E89" s="458"/>
      <c r="F89" s="458"/>
      <c r="G89" s="458"/>
      <c r="H89" s="458"/>
      <c r="I89" s="458"/>
      <c r="J89" s="458"/>
      <c r="K89" s="458"/>
      <c r="L89" s="458"/>
      <c r="M89" s="458"/>
      <c r="N89" s="458"/>
      <c r="O89" s="458"/>
      <c r="P89" s="458"/>
      <c r="Q89" s="458"/>
      <c r="R89" s="458"/>
      <c r="S89" s="522"/>
      <c r="T89" s="522"/>
      <c r="U89" s="522"/>
    </row>
    <row r="90" spans="1:21" ht="13">
      <c r="A90" s="458"/>
      <c r="B90" s="458"/>
      <c r="C90" s="458"/>
      <c r="D90" s="458"/>
      <c r="E90" s="458"/>
      <c r="F90" s="458"/>
      <c r="G90" s="458"/>
      <c r="H90" s="458"/>
      <c r="I90" s="458"/>
      <c r="J90" s="458"/>
      <c r="K90" s="458"/>
      <c r="L90" s="458"/>
      <c r="M90" s="458"/>
      <c r="N90" s="458"/>
      <c r="O90" s="458"/>
      <c r="P90" s="458"/>
      <c r="Q90" s="458"/>
      <c r="R90" s="458"/>
      <c r="S90" s="522"/>
      <c r="T90" s="522"/>
      <c r="U90" s="522"/>
    </row>
    <row r="91" spans="1:21" ht="13">
      <c r="A91" s="458"/>
      <c r="B91" s="458"/>
      <c r="C91" s="458"/>
      <c r="D91" s="458"/>
      <c r="E91" s="458"/>
      <c r="F91" s="458"/>
      <c r="G91" s="458"/>
      <c r="H91" s="458"/>
      <c r="I91" s="458"/>
      <c r="J91" s="458"/>
      <c r="K91" s="458"/>
      <c r="L91" s="458"/>
      <c r="M91" s="458"/>
      <c r="N91" s="458"/>
      <c r="O91" s="458"/>
      <c r="P91" s="458"/>
      <c r="Q91" s="458"/>
      <c r="R91" s="458"/>
      <c r="S91" s="522"/>
      <c r="T91" s="522"/>
      <c r="U91" s="522"/>
    </row>
    <row r="92" spans="1:21" ht="13">
      <c r="A92" s="458"/>
      <c r="B92" s="458"/>
      <c r="C92" s="458"/>
      <c r="D92" s="458"/>
      <c r="E92" s="458"/>
      <c r="F92" s="458"/>
      <c r="G92" s="458"/>
      <c r="H92" s="458"/>
      <c r="I92" s="458"/>
      <c r="J92" s="458"/>
      <c r="K92" s="458"/>
      <c r="L92" s="458"/>
      <c r="M92" s="458"/>
      <c r="N92" s="458"/>
      <c r="O92" s="458"/>
      <c r="P92" s="458"/>
      <c r="Q92" s="458"/>
      <c r="R92" s="458"/>
      <c r="S92" s="522"/>
      <c r="T92" s="522"/>
      <c r="U92" s="522"/>
    </row>
    <row r="93" spans="1:21" ht="13">
      <c r="A93" s="458"/>
      <c r="B93" s="458"/>
      <c r="C93" s="458"/>
      <c r="D93" s="458"/>
      <c r="E93" s="458"/>
      <c r="F93" s="458"/>
      <c r="G93" s="458"/>
      <c r="H93" s="458"/>
      <c r="I93" s="458"/>
      <c r="J93" s="458"/>
      <c r="K93" s="458"/>
      <c r="L93" s="458"/>
      <c r="M93" s="458"/>
      <c r="N93" s="458"/>
      <c r="O93" s="458"/>
      <c r="P93" s="458"/>
      <c r="Q93" s="458"/>
      <c r="R93" s="458"/>
      <c r="S93" s="522"/>
      <c r="T93" s="522"/>
      <c r="U93" s="522"/>
    </row>
    <row r="94" spans="1:21" ht="13">
      <c r="A94" s="458"/>
      <c r="B94" s="458"/>
      <c r="C94" s="458"/>
      <c r="D94" s="458"/>
      <c r="E94" s="458"/>
      <c r="F94" s="458"/>
      <c r="G94" s="458"/>
      <c r="H94" s="458"/>
      <c r="I94" s="458"/>
      <c r="J94" s="458"/>
      <c r="K94" s="458"/>
      <c r="L94" s="458"/>
      <c r="M94" s="458"/>
      <c r="N94" s="458"/>
      <c r="O94" s="458"/>
      <c r="P94" s="458"/>
      <c r="Q94" s="458"/>
      <c r="R94" s="458"/>
      <c r="S94" s="522"/>
      <c r="T94" s="522"/>
      <c r="U94" s="522"/>
    </row>
    <row r="95" spans="1:21" ht="13">
      <c r="A95" s="458"/>
      <c r="B95" s="458"/>
      <c r="C95" s="458"/>
      <c r="D95" s="458"/>
      <c r="E95" s="458"/>
      <c r="F95" s="458"/>
      <c r="G95" s="458"/>
      <c r="H95" s="458"/>
      <c r="I95" s="458"/>
      <c r="J95" s="458"/>
      <c r="K95" s="458"/>
      <c r="L95" s="458"/>
      <c r="M95" s="458"/>
      <c r="N95" s="458"/>
      <c r="O95" s="458"/>
      <c r="P95" s="458"/>
      <c r="Q95" s="458"/>
      <c r="R95" s="458"/>
      <c r="S95" s="522"/>
      <c r="T95" s="522"/>
      <c r="U95" s="522"/>
    </row>
    <row r="96" spans="1:21" ht="13">
      <c r="A96" s="458"/>
      <c r="B96" s="458"/>
      <c r="C96" s="458"/>
      <c r="D96" s="458"/>
      <c r="E96" s="458"/>
      <c r="F96" s="458"/>
      <c r="G96" s="458"/>
      <c r="H96" s="458"/>
      <c r="I96" s="458"/>
      <c r="J96" s="458"/>
      <c r="K96" s="458"/>
      <c r="L96" s="458"/>
      <c r="M96" s="458"/>
      <c r="N96" s="458"/>
      <c r="O96" s="458"/>
      <c r="P96" s="458"/>
      <c r="Q96" s="458"/>
      <c r="R96" s="458"/>
      <c r="S96" s="522"/>
      <c r="T96" s="522"/>
      <c r="U96" s="522"/>
    </row>
    <row r="97" spans="1:21" ht="13">
      <c r="A97" s="458"/>
      <c r="B97" s="458"/>
      <c r="C97" s="458"/>
      <c r="D97" s="458"/>
      <c r="E97" s="458"/>
      <c r="F97" s="458"/>
      <c r="G97" s="458"/>
      <c r="H97" s="458"/>
      <c r="I97" s="458"/>
      <c r="J97" s="458"/>
      <c r="K97" s="458"/>
      <c r="L97" s="458"/>
      <c r="M97" s="458"/>
      <c r="N97" s="458"/>
      <c r="O97" s="458"/>
      <c r="P97" s="458"/>
      <c r="Q97" s="458"/>
      <c r="R97" s="458"/>
      <c r="S97" s="522"/>
      <c r="T97" s="522"/>
      <c r="U97" s="522"/>
    </row>
    <row r="98" spans="1:21" ht="13">
      <c r="A98" s="458"/>
      <c r="B98" s="458"/>
      <c r="C98" s="458"/>
      <c r="D98" s="458"/>
      <c r="E98" s="458"/>
      <c r="F98" s="458"/>
      <c r="G98" s="458"/>
      <c r="H98" s="458"/>
      <c r="I98" s="458"/>
      <c r="J98" s="458"/>
      <c r="K98" s="458"/>
      <c r="L98" s="458"/>
      <c r="M98" s="458"/>
      <c r="N98" s="458"/>
      <c r="O98" s="458"/>
      <c r="P98" s="458"/>
      <c r="Q98" s="458"/>
      <c r="R98" s="458"/>
      <c r="S98" s="522"/>
      <c r="T98" s="522"/>
      <c r="U98" s="522"/>
    </row>
    <row r="99" spans="1:21" ht="13">
      <c r="A99" s="458"/>
      <c r="B99" s="458"/>
      <c r="C99" s="458"/>
      <c r="D99" s="458"/>
      <c r="E99" s="458"/>
      <c r="F99" s="458"/>
      <c r="G99" s="458"/>
      <c r="H99" s="458"/>
      <c r="I99" s="458"/>
      <c r="J99" s="458"/>
      <c r="K99" s="458"/>
      <c r="L99" s="458"/>
      <c r="M99" s="458"/>
      <c r="N99" s="458"/>
      <c r="O99" s="458"/>
      <c r="P99" s="458"/>
      <c r="Q99" s="458"/>
      <c r="R99" s="458"/>
      <c r="S99" s="522"/>
      <c r="T99" s="522"/>
      <c r="U99" s="522"/>
    </row>
    <row r="100" spans="1:21" ht="13">
      <c r="A100" s="458"/>
      <c r="B100" s="458"/>
      <c r="C100" s="458"/>
      <c r="D100" s="458"/>
      <c r="E100" s="458"/>
      <c r="F100" s="458"/>
      <c r="G100" s="458"/>
      <c r="H100" s="458"/>
      <c r="I100" s="458"/>
      <c r="J100" s="458"/>
      <c r="K100" s="458"/>
      <c r="L100" s="458"/>
      <c r="M100" s="458"/>
      <c r="N100" s="458"/>
      <c r="O100" s="458"/>
      <c r="P100" s="458"/>
      <c r="Q100" s="458"/>
      <c r="R100" s="458"/>
      <c r="S100" s="522"/>
      <c r="T100" s="522"/>
      <c r="U100" s="522"/>
    </row>
    <row r="101" spans="1:21" ht="13">
      <c r="A101" s="458"/>
      <c r="B101" s="458"/>
      <c r="C101" s="458"/>
      <c r="D101" s="458"/>
      <c r="E101" s="458"/>
      <c r="F101" s="458"/>
      <c r="G101" s="458"/>
      <c r="H101" s="458"/>
      <c r="I101" s="458"/>
      <c r="J101" s="458"/>
      <c r="K101" s="458"/>
      <c r="L101" s="458"/>
      <c r="M101" s="458"/>
      <c r="N101" s="458"/>
      <c r="O101" s="458"/>
      <c r="P101" s="458"/>
      <c r="Q101" s="458"/>
      <c r="R101" s="458"/>
      <c r="S101" s="522"/>
      <c r="T101" s="522"/>
      <c r="U101" s="522"/>
    </row>
    <row r="102" spans="1:21" ht="13">
      <c r="A102" s="458"/>
      <c r="B102" s="458"/>
      <c r="C102" s="458"/>
      <c r="D102" s="458"/>
      <c r="E102" s="458"/>
      <c r="F102" s="458"/>
      <c r="G102" s="458"/>
      <c r="H102" s="458"/>
      <c r="I102" s="458"/>
      <c r="J102" s="458"/>
      <c r="K102" s="458"/>
      <c r="L102" s="458"/>
      <c r="M102" s="458"/>
      <c r="N102" s="458"/>
      <c r="O102" s="458"/>
      <c r="P102" s="458"/>
      <c r="Q102" s="458"/>
      <c r="R102" s="458"/>
      <c r="S102" s="522"/>
      <c r="T102" s="522"/>
      <c r="U102" s="522"/>
    </row>
    <row r="103" spans="1:21" ht="13">
      <c r="A103" s="458"/>
      <c r="B103" s="458"/>
      <c r="C103" s="458"/>
      <c r="D103" s="458"/>
      <c r="E103" s="458"/>
      <c r="F103" s="458"/>
      <c r="G103" s="458"/>
      <c r="H103" s="458"/>
      <c r="I103" s="458"/>
      <c r="J103" s="458"/>
      <c r="K103" s="458"/>
      <c r="L103" s="458"/>
      <c r="M103" s="458"/>
      <c r="N103" s="458"/>
      <c r="O103" s="458"/>
      <c r="P103" s="458"/>
      <c r="Q103" s="458"/>
      <c r="R103" s="458"/>
      <c r="S103" s="522"/>
      <c r="T103" s="522"/>
      <c r="U103" s="522"/>
    </row>
    <row r="104" spans="1:21" ht="13">
      <c r="A104" s="458"/>
      <c r="B104" s="458"/>
      <c r="C104" s="458"/>
      <c r="D104" s="458"/>
      <c r="E104" s="458"/>
      <c r="F104" s="458"/>
      <c r="G104" s="458"/>
      <c r="H104" s="458"/>
      <c r="I104" s="458"/>
      <c r="J104" s="458"/>
      <c r="K104" s="458"/>
      <c r="L104" s="458"/>
      <c r="M104" s="458"/>
      <c r="N104" s="458"/>
      <c r="O104" s="458"/>
      <c r="P104" s="458"/>
      <c r="Q104" s="458"/>
      <c r="R104" s="458"/>
      <c r="S104" s="522"/>
      <c r="T104" s="522"/>
      <c r="U104" s="522"/>
    </row>
    <row r="105" spans="1:21" ht="13">
      <c r="A105" s="458"/>
      <c r="B105" s="458"/>
      <c r="C105" s="458"/>
      <c r="D105" s="458"/>
      <c r="E105" s="458"/>
      <c r="F105" s="458"/>
      <c r="G105" s="458"/>
      <c r="H105" s="458"/>
      <c r="I105" s="458"/>
      <c r="J105" s="458"/>
      <c r="K105" s="458"/>
      <c r="L105" s="458"/>
      <c r="M105" s="458"/>
      <c r="N105" s="458"/>
      <c r="O105" s="458"/>
      <c r="P105" s="458"/>
      <c r="Q105" s="458"/>
      <c r="R105" s="458"/>
      <c r="S105" s="522"/>
      <c r="T105" s="522"/>
      <c r="U105" s="522"/>
    </row>
    <row r="106" spans="1:21" ht="13">
      <c r="A106" s="458"/>
      <c r="B106" s="458"/>
      <c r="C106" s="458"/>
      <c r="D106" s="458"/>
      <c r="E106" s="458"/>
      <c r="F106" s="458"/>
      <c r="G106" s="458"/>
      <c r="H106" s="458"/>
      <c r="I106" s="458"/>
      <c r="J106" s="458"/>
      <c r="K106" s="458"/>
      <c r="L106" s="458"/>
      <c r="M106" s="458"/>
      <c r="N106" s="458"/>
      <c r="O106" s="458"/>
      <c r="P106" s="458"/>
      <c r="Q106" s="458"/>
      <c r="R106" s="458"/>
      <c r="S106" s="522"/>
      <c r="T106" s="522"/>
      <c r="U106" s="522"/>
    </row>
    <row r="107" spans="1:21" ht="13">
      <c r="A107" s="458"/>
      <c r="B107" s="458"/>
      <c r="C107" s="458"/>
      <c r="D107" s="458"/>
      <c r="E107" s="458"/>
      <c r="F107" s="458"/>
      <c r="G107" s="458"/>
      <c r="H107" s="458"/>
      <c r="I107" s="458"/>
      <c r="J107" s="458"/>
      <c r="K107" s="458"/>
      <c r="L107" s="458"/>
      <c r="M107" s="458"/>
      <c r="N107" s="458"/>
      <c r="O107" s="458"/>
      <c r="P107" s="458"/>
      <c r="Q107" s="458"/>
      <c r="R107" s="458"/>
      <c r="S107" s="522"/>
      <c r="T107" s="522"/>
      <c r="U107" s="522"/>
    </row>
    <row r="108" spans="1:21" ht="13">
      <c r="A108" s="458"/>
      <c r="B108" s="458"/>
      <c r="C108" s="458"/>
      <c r="D108" s="458"/>
      <c r="E108" s="458"/>
      <c r="F108" s="458"/>
      <c r="G108" s="458"/>
      <c r="H108" s="458"/>
      <c r="I108" s="458"/>
      <c r="J108" s="458"/>
      <c r="K108" s="458"/>
      <c r="L108" s="458"/>
      <c r="M108" s="458"/>
      <c r="N108" s="458"/>
      <c r="O108" s="458"/>
      <c r="P108" s="458"/>
      <c r="Q108" s="458"/>
      <c r="R108" s="458"/>
      <c r="S108" s="522"/>
      <c r="T108" s="522"/>
      <c r="U108" s="522"/>
    </row>
    <row r="109" spans="1:21" ht="13">
      <c r="A109" s="458"/>
      <c r="B109" s="458"/>
      <c r="C109" s="458"/>
      <c r="D109" s="458"/>
      <c r="E109" s="458"/>
      <c r="F109" s="458"/>
      <c r="G109" s="458"/>
      <c r="H109" s="458"/>
      <c r="I109" s="458"/>
      <c r="J109" s="458"/>
      <c r="K109" s="458"/>
      <c r="L109" s="458"/>
      <c r="M109" s="458"/>
      <c r="N109" s="458"/>
      <c r="O109" s="458"/>
      <c r="P109" s="458"/>
      <c r="Q109" s="458"/>
      <c r="R109" s="458"/>
      <c r="S109" s="522"/>
      <c r="T109" s="522"/>
      <c r="U109" s="522"/>
    </row>
    <row r="110" spans="1:21" ht="13">
      <c r="A110" s="458"/>
      <c r="B110" s="458"/>
      <c r="C110" s="458"/>
      <c r="D110" s="458"/>
      <c r="E110" s="458"/>
      <c r="F110" s="458"/>
      <c r="G110" s="458"/>
      <c r="H110" s="458"/>
      <c r="I110" s="458"/>
      <c r="J110" s="458"/>
      <c r="K110" s="458"/>
      <c r="L110" s="458"/>
      <c r="M110" s="458"/>
      <c r="N110" s="458"/>
      <c r="O110" s="458"/>
      <c r="P110" s="458"/>
      <c r="Q110" s="458"/>
      <c r="R110" s="458"/>
      <c r="S110" s="522"/>
      <c r="T110" s="522"/>
      <c r="U110" s="522"/>
    </row>
    <row r="111" spans="1:21" ht="13">
      <c r="A111" s="458"/>
      <c r="B111" s="458"/>
      <c r="C111" s="458"/>
      <c r="D111" s="458"/>
      <c r="E111" s="458"/>
      <c r="F111" s="458"/>
      <c r="G111" s="458"/>
      <c r="H111" s="458"/>
      <c r="I111" s="458"/>
      <c r="J111" s="458"/>
      <c r="K111" s="458"/>
      <c r="L111" s="458"/>
      <c r="M111" s="458"/>
      <c r="N111" s="458"/>
      <c r="O111" s="458"/>
      <c r="P111" s="458"/>
      <c r="Q111" s="458"/>
      <c r="R111" s="458"/>
      <c r="S111" s="522"/>
      <c r="T111" s="522"/>
      <c r="U111" s="522"/>
    </row>
    <row r="112" spans="1:21" ht="13">
      <c r="A112" s="458"/>
      <c r="B112" s="458"/>
      <c r="C112" s="458"/>
      <c r="D112" s="458"/>
      <c r="E112" s="458"/>
      <c r="F112" s="458"/>
      <c r="G112" s="458"/>
      <c r="H112" s="458"/>
      <c r="I112" s="458"/>
      <c r="J112" s="458"/>
      <c r="K112" s="458"/>
      <c r="L112" s="458"/>
      <c r="M112" s="458"/>
      <c r="N112" s="458"/>
      <c r="O112" s="458"/>
      <c r="P112" s="458"/>
      <c r="Q112" s="458"/>
      <c r="R112" s="458"/>
      <c r="S112" s="522"/>
      <c r="T112" s="522"/>
      <c r="U112" s="522"/>
    </row>
    <row r="113" spans="1:21" ht="13">
      <c r="A113" s="458"/>
      <c r="B113" s="458"/>
      <c r="C113" s="458"/>
      <c r="D113" s="458"/>
      <c r="E113" s="458"/>
      <c r="F113" s="458"/>
      <c r="G113" s="458"/>
      <c r="H113" s="458"/>
      <c r="I113" s="458"/>
      <c r="J113" s="458"/>
      <c r="K113" s="458"/>
      <c r="L113" s="458"/>
      <c r="M113" s="458"/>
      <c r="N113" s="458"/>
      <c r="O113" s="458"/>
      <c r="P113" s="458"/>
      <c r="Q113" s="458"/>
      <c r="R113" s="458"/>
      <c r="S113" s="522"/>
      <c r="T113" s="522"/>
      <c r="U113" s="522"/>
    </row>
    <row r="114" spans="1:21" ht="13">
      <c r="A114" s="458"/>
      <c r="B114" s="458"/>
      <c r="C114" s="458"/>
      <c r="D114" s="458"/>
      <c r="E114" s="458"/>
      <c r="F114" s="458"/>
      <c r="G114" s="458"/>
      <c r="H114" s="458"/>
      <c r="I114" s="458"/>
      <c r="J114" s="458"/>
      <c r="K114" s="458"/>
      <c r="L114" s="458"/>
      <c r="M114" s="458"/>
      <c r="N114" s="458"/>
      <c r="O114" s="458"/>
      <c r="P114" s="458"/>
      <c r="Q114" s="458"/>
      <c r="R114" s="458"/>
      <c r="S114" s="522"/>
      <c r="T114" s="522"/>
      <c r="U114" s="522"/>
    </row>
    <row r="115" spans="1:21" ht="13">
      <c r="A115" s="458"/>
      <c r="B115" s="458"/>
      <c r="C115" s="458"/>
      <c r="D115" s="458"/>
      <c r="E115" s="458"/>
      <c r="F115" s="458"/>
      <c r="G115" s="458"/>
      <c r="H115" s="458"/>
      <c r="I115" s="458"/>
      <c r="J115" s="458"/>
      <c r="K115" s="458"/>
      <c r="L115" s="458"/>
      <c r="M115" s="458"/>
      <c r="N115" s="458"/>
      <c r="O115" s="458"/>
      <c r="P115" s="458"/>
      <c r="Q115" s="458"/>
      <c r="R115" s="458"/>
      <c r="S115" s="522"/>
      <c r="T115" s="522"/>
      <c r="U115" s="522"/>
    </row>
    <row r="116" spans="1:21" ht="13">
      <c r="A116" s="458"/>
      <c r="B116" s="458"/>
      <c r="C116" s="458"/>
      <c r="D116" s="458"/>
      <c r="E116" s="458"/>
      <c r="F116" s="458"/>
      <c r="G116" s="458"/>
      <c r="H116" s="458"/>
      <c r="I116" s="458"/>
      <c r="J116" s="458"/>
      <c r="K116" s="458"/>
      <c r="L116" s="458"/>
      <c r="M116" s="458"/>
      <c r="N116" s="458"/>
      <c r="O116" s="458"/>
      <c r="P116" s="458"/>
      <c r="Q116" s="458"/>
      <c r="R116" s="458"/>
      <c r="S116" s="522"/>
      <c r="T116" s="522"/>
      <c r="U116" s="522"/>
    </row>
    <row r="117" spans="1:21" ht="13">
      <c r="A117" s="458"/>
      <c r="B117" s="458"/>
      <c r="C117" s="458"/>
      <c r="D117" s="458"/>
      <c r="E117" s="458"/>
      <c r="F117" s="458"/>
      <c r="G117" s="458"/>
      <c r="H117" s="458"/>
      <c r="I117" s="458"/>
      <c r="J117" s="458"/>
      <c r="K117" s="458"/>
      <c r="L117" s="458"/>
      <c r="M117" s="458"/>
      <c r="N117" s="458"/>
      <c r="O117" s="458"/>
      <c r="P117" s="458"/>
      <c r="Q117" s="458"/>
      <c r="R117" s="458"/>
      <c r="S117" s="522"/>
      <c r="T117" s="522"/>
      <c r="U117" s="522"/>
    </row>
    <row r="118" spans="1:21" ht="13">
      <c r="A118" s="458"/>
      <c r="B118" s="458"/>
      <c r="C118" s="458"/>
      <c r="D118" s="458"/>
      <c r="E118" s="458"/>
      <c r="F118" s="458"/>
      <c r="G118" s="458"/>
      <c r="H118" s="458"/>
      <c r="I118" s="458"/>
      <c r="J118" s="458"/>
      <c r="K118" s="458"/>
      <c r="L118" s="458"/>
      <c r="M118" s="458"/>
      <c r="N118" s="458"/>
      <c r="O118" s="458"/>
      <c r="P118" s="458"/>
      <c r="Q118" s="458"/>
      <c r="R118" s="458"/>
      <c r="S118" s="522"/>
      <c r="T118" s="522"/>
      <c r="U118" s="522"/>
    </row>
    <row r="119" spans="1:21" ht="13">
      <c r="A119" s="458"/>
      <c r="B119" s="458"/>
      <c r="C119" s="458"/>
      <c r="D119" s="458"/>
      <c r="E119" s="458"/>
      <c r="F119" s="458"/>
      <c r="G119" s="458"/>
      <c r="H119" s="458"/>
      <c r="I119" s="458"/>
      <c r="J119" s="458"/>
      <c r="K119" s="458"/>
      <c r="L119" s="458"/>
      <c r="M119" s="458"/>
      <c r="N119" s="458"/>
      <c r="O119" s="458"/>
      <c r="P119" s="458"/>
      <c r="Q119" s="458"/>
      <c r="R119" s="458"/>
      <c r="S119" s="522"/>
      <c r="T119" s="522"/>
      <c r="U119" s="522"/>
    </row>
    <row r="120" spans="1:21" ht="13">
      <c r="A120" s="458"/>
      <c r="B120" s="458"/>
      <c r="C120" s="458"/>
      <c r="D120" s="458"/>
      <c r="E120" s="458"/>
      <c r="F120" s="458"/>
      <c r="G120" s="458"/>
      <c r="H120" s="458"/>
      <c r="I120" s="458"/>
      <c r="J120" s="458"/>
      <c r="K120" s="458"/>
      <c r="L120" s="458"/>
      <c r="M120" s="458"/>
      <c r="N120" s="458"/>
      <c r="O120" s="458"/>
      <c r="P120" s="458"/>
      <c r="Q120" s="458"/>
      <c r="R120" s="458"/>
      <c r="S120" s="522"/>
      <c r="T120" s="522"/>
      <c r="U120" s="522"/>
    </row>
    <row r="121" spans="1:21" ht="13">
      <c r="A121" s="458"/>
      <c r="B121" s="458"/>
      <c r="C121" s="458"/>
      <c r="D121" s="458"/>
      <c r="E121" s="458"/>
      <c r="F121" s="458"/>
      <c r="G121" s="458"/>
      <c r="H121" s="458"/>
      <c r="I121" s="458"/>
      <c r="J121" s="458"/>
      <c r="K121" s="458"/>
      <c r="L121" s="458"/>
      <c r="M121" s="458"/>
      <c r="N121" s="458"/>
      <c r="O121" s="458"/>
      <c r="P121" s="458"/>
      <c r="Q121" s="458"/>
      <c r="R121" s="458"/>
      <c r="S121" s="522"/>
      <c r="T121" s="522"/>
      <c r="U121" s="522"/>
    </row>
    <row r="122" spans="1:21" ht="13">
      <c r="A122" s="458"/>
      <c r="B122" s="458"/>
      <c r="C122" s="458"/>
      <c r="D122" s="458"/>
      <c r="E122" s="458"/>
      <c r="F122" s="458"/>
      <c r="G122" s="458"/>
      <c r="H122" s="458"/>
      <c r="I122" s="458"/>
      <c r="J122" s="458"/>
      <c r="K122" s="458"/>
      <c r="L122" s="458"/>
      <c r="M122" s="458"/>
      <c r="N122" s="458"/>
      <c r="O122" s="458"/>
      <c r="P122" s="458"/>
      <c r="Q122" s="458"/>
      <c r="R122" s="458"/>
      <c r="S122" s="522"/>
      <c r="T122" s="522"/>
      <c r="U122" s="522"/>
    </row>
    <row r="123" spans="1:21" ht="13">
      <c r="A123" s="458"/>
      <c r="B123" s="458"/>
      <c r="C123" s="458"/>
      <c r="D123" s="458"/>
      <c r="E123" s="458"/>
      <c r="F123" s="458"/>
      <c r="G123" s="458"/>
      <c r="H123" s="458"/>
      <c r="I123" s="458"/>
      <c r="J123" s="458"/>
      <c r="K123" s="458"/>
      <c r="L123" s="458"/>
      <c r="M123" s="458"/>
      <c r="N123" s="458"/>
      <c r="O123" s="458"/>
      <c r="P123" s="458"/>
      <c r="Q123" s="458"/>
      <c r="R123" s="458"/>
      <c r="S123" s="522"/>
      <c r="T123" s="522"/>
      <c r="U123" s="522"/>
    </row>
    <row r="124" spans="1:21" ht="13">
      <c r="A124" s="458"/>
      <c r="B124" s="458"/>
      <c r="C124" s="458"/>
      <c r="D124" s="458"/>
      <c r="E124" s="458"/>
      <c r="F124" s="458"/>
      <c r="G124" s="458"/>
      <c r="H124" s="458"/>
      <c r="I124" s="458"/>
      <c r="J124" s="458"/>
      <c r="K124" s="458"/>
      <c r="L124" s="458"/>
      <c r="M124" s="458"/>
      <c r="N124" s="458"/>
      <c r="O124" s="458"/>
      <c r="P124" s="458"/>
      <c r="Q124" s="458"/>
      <c r="R124" s="458"/>
      <c r="S124" s="522"/>
      <c r="T124" s="522"/>
      <c r="U124" s="522"/>
    </row>
    <row r="125" spans="1:21" ht="13">
      <c r="A125" s="458"/>
      <c r="B125" s="458"/>
      <c r="C125" s="458"/>
      <c r="D125" s="458"/>
      <c r="E125" s="458"/>
      <c r="F125" s="458"/>
      <c r="G125" s="458"/>
      <c r="H125" s="458"/>
      <c r="I125" s="458"/>
      <c r="J125" s="458"/>
      <c r="K125" s="458"/>
      <c r="L125" s="458"/>
      <c r="M125" s="458"/>
      <c r="N125" s="458"/>
      <c r="O125" s="458"/>
      <c r="P125" s="458"/>
      <c r="Q125" s="458"/>
      <c r="R125" s="458"/>
      <c r="S125" s="522"/>
      <c r="T125" s="522"/>
      <c r="U125" s="522"/>
    </row>
    <row r="126" spans="1:21" ht="13">
      <c r="A126" s="458"/>
      <c r="B126" s="458"/>
      <c r="C126" s="458"/>
      <c r="D126" s="458"/>
      <c r="E126" s="458"/>
      <c r="F126" s="458"/>
      <c r="G126" s="458"/>
      <c r="H126" s="458"/>
      <c r="I126" s="458"/>
      <c r="J126" s="458"/>
      <c r="K126" s="458"/>
      <c r="L126" s="458"/>
      <c r="M126" s="458"/>
      <c r="N126" s="458"/>
      <c r="O126" s="458"/>
      <c r="P126" s="458"/>
      <c r="Q126" s="458"/>
      <c r="R126" s="458"/>
      <c r="S126" s="522"/>
      <c r="T126" s="522"/>
      <c r="U126" s="522"/>
    </row>
    <row r="127" spans="1:21" ht="13">
      <c r="A127" s="458"/>
      <c r="B127" s="458"/>
      <c r="C127" s="458"/>
      <c r="D127" s="458"/>
      <c r="E127" s="458"/>
      <c r="F127" s="458"/>
      <c r="G127" s="458"/>
      <c r="H127" s="458"/>
      <c r="I127" s="458"/>
      <c r="J127" s="458"/>
      <c r="K127" s="458"/>
      <c r="L127" s="458"/>
      <c r="M127" s="458"/>
      <c r="N127" s="458"/>
      <c r="O127" s="458"/>
      <c r="P127" s="458"/>
      <c r="Q127" s="458"/>
      <c r="R127" s="458"/>
      <c r="S127" s="522"/>
      <c r="T127" s="522"/>
      <c r="U127" s="522"/>
    </row>
    <row r="128" spans="1:21" ht="13">
      <c r="A128" s="458"/>
      <c r="B128" s="458"/>
      <c r="C128" s="458"/>
      <c r="D128" s="458"/>
      <c r="E128" s="458"/>
      <c r="F128" s="458"/>
      <c r="G128" s="458"/>
      <c r="H128" s="458"/>
      <c r="I128" s="458"/>
      <c r="J128" s="458"/>
      <c r="K128" s="458"/>
      <c r="L128" s="458"/>
      <c r="M128" s="458"/>
      <c r="N128" s="458"/>
      <c r="O128" s="458"/>
      <c r="P128" s="458"/>
      <c r="Q128" s="458"/>
      <c r="R128" s="458"/>
      <c r="S128" s="522"/>
      <c r="T128" s="522"/>
      <c r="U128" s="522"/>
    </row>
    <row r="129" spans="1:21" ht="13">
      <c r="A129" s="458"/>
      <c r="B129" s="458"/>
      <c r="C129" s="458"/>
      <c r="D129" s="458"/>
      <c r="E129" s="458"/>
      <c r="F129" s="458"/>
      <c r="G129" s="458"/>
      <c r="H129" s="458"/>
      <c r="I129" s="458"/>
      <c r="J129" s="458"/>
      <c r="K129" s="458"/>
      <c r="L129" s="458"/>
      <c r="M129" s="458"/>
      <c r="N129" s="458"/>
      <c r="O129" s="458"/>
      <c r="P129" s="458"/>
      <c r="Q129" s="458"/>
      <c r="R129" s="458"/>
      <c r="S129" s="522"/>
      <c r="T129" s="522"/>
      <c r="U129" s="522"/>
    </row>
    <row r="130" spans="1:21" ht="13">
      <c r="A130" s="458"/>
      <c r="B130" s="458"/>
      <c r="C130" s="458"/>
      <c r="D130" s="458"/>
      <c r="E130" s="458"/>
      <c r="F130" s="458"/>
      <c r="G130" s="458"/>
      <c r="H130" s="458"/>
      <c r="I130" s="458"/>
      <c r="J130" s="458"/>
      <c r="K130" s="458"/>
      <c r="L130" s="458"/>
      <c r="M130" s="458"/>
      <c r="N130" s="458"/>
      <c r="O130" s="458"/>
      <c r="P130" s="458"/>
      <c r="Q130" s="458"/>
      <c r="R130" s="458"/>
      <c r="S130" s="522"/>
      <c r="T130" s="522"/>
      <c r="U130" s="522"/>
    </row>
    <row r="131" spans="1:21" ht="13">
      <c r="A131" s="458"/>
      <c r="B131" s="458"/>
      <c r="C131" s="458"/>
      <c r="D131" s="458"/>
      <c r="E131" s="458"/>
      <c r="F131" s="458"/>
      <c r="G131" s="458"/>
      <c r="H131" s="458"/>
      <c r="I131" s="458"/>
      <c r="J131" s="458"/>
      <c r="K131" s="458"/>
      <c r="L131" s="458"/>
      <c r="M131" s="458"/>
      <c r="N131" s="458"/>
      <c r="O131" s="458"/>
      <c r="P131" s="458"/>
      <c r="Q131" s="458"/>
      <c r="R131" s="458"/>
      <c r="S131" s="522"/>
      <c r="T131" s="522"/>
      <c r="U131" s="522"/>
    </row>
    <row r="132" spans="1:21" ht="13">
      <c r="A132" s="458"/>
      <c r="B132" s="458"/>
      <c r="C132" s="458"/>
      <c r="D132" s="458"/>
      <c r="E132" s="458"/>
      <c r="F132" s="458"/>
      <c r="G132" s="458"/>
      <c r="H132" s="458"/>
      <c r="I132" s="458"/>
      <c r="J132" s="458"/>
      <c r="K132" s="458"/>
      <c r="L132" s="458"/>
      <c r="M132" s="458"/>
      <c r="N132" s="458"/>
      <c r="O132" s="458"/>
      <c r="P132" s="458"/>
      <c r="Q132" s="458"/>
      <c r="R132" s="458"/>
      <c r="S132" s="522"/>
      <c r="T132" s="522"/>
      <c r="U132" s="522"/>
    </row>
    <row r="133" spans="1:21" ht="13">
      <c r="A133" s="458"/>
      <c r="B133" s="458"/>
      <c r="C133" s="458"/>
      <c r="D133" s="458"/>
      <c r="E133" s="458"/>
      <c r="F133" s="458"/>
      <c r="G133" s="458"/>
      <c r="H133" s="458"/>
      <c r="I133" s="458"/>
      <c r="J133" s="458"/>
      <c r="K133" s="458"/>
      <c r="L133" s="458"/>
      <c r="M133" s="458"/>
      <c r="N133" s="458"/>
      <c r="O133" s="458"/>
      <c r="P133" s="458"/>
      <c r="Q133" s="458"/>
      <c r="R133" s="458"/>
      <c r="S133" s="522"/>
      <c r="T133" s="522"/>
      <c r="U133" s="522"/>
    </row>
    <row r="134" spans="1:21" ht="13">
      <c r="A134" s="458"/>
      <c r="B134" s="458"/>
      <c r="C134" s="458"/>
      <c r="D134" s="458"/>
      <c r="E134" s="458"/>
      <c r="F134" s="458"/>
      <c r="G134" s="458"/>
      <c r="H134" s="458"/>
      <c r="I134" s="458"/>
      <c r="J134" s="458"/>
      <c r="K134" s="458"/>
      <c r="L134" s="458"/>
      <c r="M134" s="458"/>
      <c r="N134" s="458"/>
      <c r="O134" s="458"/>
      <c r="P134" s="458"/>
      <c r="Q134" s="458"/>
      <c r="R134" s="458"/>
      <c r="S134" s="522"/>
      <c r="T134" s="522"/>
      <c r="U134" s="522"/>
    </row>
    <row r="135" spans="1:21" ht="13">
      <c r="A135" s="458"/>
      <c r="B135" s="458"/>
      <c r="C135" s="458"/>
      <c r="D135" s="458"/>
      <c r="E135" s="458"/>
      <c r="F135" s="458"/>
      <c r="G135" s="458"/>
      <c r="H135" s="458"/>
      <c r="I135" s="458"/>
      <c r="J135" s="458"/>
      <c r="K135" s="458"/>
      <c r="L135" s="458"/>
      <c r="M135" s="458"/>
      <c r="N135" s="458"/>
      <c r="O135" s="458"/>
      <c r="P135" s="458"/>
      <c r="Q135" s="458"/>
      <c r="R135" s="458"/>
      <c r="S135" s="522"/>
      <c r="T135" s="522"/>
      <c r="U135" s="522"/>
    </row>
    <row r="136" spans="1:21" ht="13">
      <c r="A136" s="458"/>
      <c r="B136" s="458"/>
      <c r="C136" s="458"/>
      <c r="D136" s="458"/>
      <c r="E136" s="458"/>
      <c r="F136" s="458"/>
      <c r="G136" s="458"/>
      <c r="H136" s="458"/>
      <c r="I136" s="458"/>
      <c r="J136" s="458"/>
      <c r="K136" s="458"/>
      <c r="L136" s="458"/>
      <c r="M136" s="458"/>
      <c r="N136" s="458"/>
      <c r="O136" s="458"/>
      <c r="P136" s="458"/>
      <c r="Q136" s="458"/>
      <c r="R136" s="458"/>
      <c r="S136" s="522"/>
      <c r="T136" s="522"/>
      <c r="U136" s="522"/>
    </row>
    <row r="137" spans="1:21" ht="13">
      <c r="A137" s="458"/>
      <c r="B137" s="458"/>
      <c r="C137" s="458"/>
      <c r="D137" s="458"/>
      <c r="E137" s="458"/>
      <c r="F137" s="458"/>
      <c r="G137" s="458"/>
      <c r="H137" s="458"/>
      <c r="I137" s="458"/>
      <c r="J137" s="458"/>
      <c r="K137" s="458"/>
      <c r="L137" s="458"/>
      <c r="M137" s="458"/>
      <c r="N137" s="458"/>
      <c r="O137" s="458"/>
      <c r="P137" s="458"/>
      <c r="Q137" s="458"/>
      <c r="R137" s="458"/>
      <c r="S137" s="522"/>
      <c r="T137" s="522"/>
      <c r="U137" s="522"/>
    </row>
    <row r="138" spans="1:21" ht="13">
      <c r="A138" s="458"/>
      <c r="B138" s="458"/>
      <c r="C138" s="458"/>
      <c r="D138" s="458"/>
      <c r="E138" s="458"/>
      <c r="F138" s="458"/>
      <c r="G138" s="458"/>
      <c r="H138" s="458"/>
      <c r="I138" s="458"/>
      <c r="J138" s="458"/>
      <c r="K138" s="458"/>
      <c r="L138" s="458"/>
      <c r="M138" s="458"/>
      <c r="N138" s="458"/>
      <c r="O138" s="458"/>
      <c r="P138" s="458"/>
      <c r="Q138" s="458"/>
      <c r="R138" s="458"/>
      <c r="S138" s="522"/>
      <c r="T138" s="522"/>
      <c r="U138" s="522"/>
    </row>
    <row r="139" spans="1:21" ht="13">
      <c r="A139" s="458"/>
      <c r="B139" s="458"/>
      <c r="C139" s="458"/>
      <c r="D139" s="458"/>
      <c r="E139" s="458"/>
      <c r="F139" s="458"/>
      <c r="G139" s="458"/>
      <c r="H139" s="458"/>
      <c r="I139" s="458"/>
      <c r="J139" s="458"/>
      <c r="K139" s="458"/>
      <c r="L139" s="458"/>
      <c r="M139" s="458"/>
      <c r="N139" s="458"/>
      <c r="O139" s="458"/>
      <c r="P139" s="458"/>
      <c r="Q139" s="458"/>
      <c r="R139" s="458"/>
      <c r="S139" s="522"/>
      <c r="T139" s="522"/>
      <c r="U139" s="522"/>
    </row>
  </sheetData>
  <dataConsolidate link="1"/>
  <mergeCells count="26">
    <mergeCell ref="AL7:AM7"/>
    <mergeCell ref="AN7:AO7"/>
    <mergeCell ref="AP7:AQ7"/>
    <mergeCell ref="AR7:AS7"/>
    <mergeCell ref="AJ6:AK6"/>
    <mergeCell ref="AL6:BC6"/>
    <mergeCell ref="AT7:AU7"/>
    <mergeCell ref="AV7:AW7"/>
    <mergeCell ref="AX7:AY7"/>
    <mergeCell ref="AZ7:BA7"/>
    <mergeCell ref="BB7:BC7"/>
    <mergeCell ref="C64:U64"/>
    <mergeCell ref="C65:U65"/>
    <mergeCell ref="Q1:U1"/>
    <mergeCell ref="Q2:U2"/>
    <mergeCell ref="Q3:U3"/>
    <mergeCell ref="Q4:U4"/>
    <mergeCell ref="S7:U7"/>
    <mergeCell ref="C27:U27"/>
    <mergeCell ref="G9:K9"/>
    <mergeCell ref="C61:U61"/>
    <mergeCell ref="C62:U62"/>
    <mergeCell ref="C63:U63"/>
    <mergeCell ref="G8:M8"/>
    <mergeCell ref="G7:M7"/>
    <mergeCell ref="O7:R7"/>
  </mergeCells>
  <conditionalFormatting sqref="M33:M34 N33:U33">
    <cfRule type="expression" dxfId="23" priority="62">
      <formula>IF($L$33="inc",TRUE,FALSE)</formula>
    </cfRule>
  </conditionalFormatting>
  <conditionalFormatting sqref="N34:Q34">
    <cfRule type="expression" dxfId="22" priority="61">
      <formula>IF($L$33="inc",TRUE,FALSE)</formula>
    </cfRule>
  </conditionalFormatting>
  <conditionalFormatting sqref="M35:Q35">
    <cfRule type="expression" dxfId="21" priority="60">
      <formula>IF($L$33="inc",TRUE,FALSE)</formula>
    </cfRule>
  </conditionalFormatting>
  <conditionalFormatting sqref="M36:Q36">
    <cfRule type="expression" dxfId="20" priority="59">
      <formula>IF($L$33="inc",TRUE,FALSE)</formula>
    </cfRule>
  </conditionalFormatting>
  <conditionalFormatting sqref="M40:Q40">
    <cfRule type="expression" dxfId="19" priority="58">
      <formula>IF($L$33="inc",TRUE,FALSE)</formula>
    </cfRule>
  </conditionalFormatting>
  <conditionalFormatting sqref="M17:M25 N17:U22">
    <cfRule type="cellIs" dxfId="18" priority="55" operator="equal">
      <formula>"Data Input"</formula>
    </cfRule>
  </conditionalFormatting>
  <conditionalFormatting sqref="M33:M34 M36 M40:M43 M45 M48:U49 N33:U33">
    <cfRule type="cellIs" dxfId="17" priority="54" operator="equal">
      <formula>"Data Input"</formula>
    </cfRule>
  </conditionalFormatting>
  <conditionalFormatting sqref="M16:U16">
    <cfRule type="cellIs" dxfId="16" priority="51" operator="equal">
      <formula>"Data Input"</formula>
    </cfRule>
  </conditionalFormatting>
  <conditionalFormatting sqref="N23:Q23">
    <cfRule type="cellIs" dxfId="15" priority="47" operator="equal">
      <formula>"Data Input"</formula>
    </cfRule>
  </conditionalFormatting>
  <conditionalFormatting sqref="C27">
    <cfRule type="cellIs" dxfId="14" priority="46" operator="equal">
      <formula>"Fill NNT requirement"</formula>
    </cfRule>
    <cfRule type="expression" dxfId="13" priority="56">
      <formula>IF($W$7="",TRUE,FALSE)</formula>
    </cfRule>
  </conditionalFormatting>
  <conditionalFormatting sqref="S34:U34">
    <cfRule type="expression" dxfId="12" priority="30">
      <formula>IF($L$33="inc",TRUE,FALSE)</formula>
    </cfRule>
  </conditionalFormatting>
  <conditionalFormatting sqref="S35:U35">
    <cfRule type="expression" dxfId="11" priority="29">
      <formula>IF($L$33="inc",TRUE,FALSE)</formula>
    </cfRule>
  </conditionalFormatting>
  <conditionalFormatting sqref="S36:U36">
    <cfRule type="expression" dxfId="10" priority="28">
      <formula>IF($L$33="inc",TRUE,FALSE)</formula>
    </cfRule>
  </conditionalFormatting>
  <conditionalFormatting sqref="S40:U40">
    <cfRule type="expression" dxfId="9" priority="27">
      <formula>IF($L$33="inc",TRUE,FALSE)</formula>
    </cfRule>
  </conditionalFormatting>
  <conditionalFormatting sqref="R23">
    <cfRule type="cellIs" dxfId="8" priority="25" operator="equal">
      <formula>"Data Input"</formula>
    </cfRule>
  </conditionalFormatting>
  <conditionalFormatting sqref="X48:AF49 X33:AF34 X16:AF24 X31:AF31 X14:AF14 X12:AF12">
    <cfRule type="expression" dxfId="7" priority="64">
      <formula>IF($W$2="From Preselector",TRUE,IF($W$2="Light RCS",TRUE,FALSE))</formula>
    </cfRule>
  </conditionalFormatting>
  <conditionalFormatting sqref="R34">
    <cfRule type="expression" dxfId="6" priority="18">
      <formula>IF($L$33="inc",TRUE,FALSE)</formula>
    </cfRule>
  </conditionalFormatting>
  <conditionalFormatting sqref="R35">
    <cfRule type="expression" dxfId="5" priority="17">
      <formula>IF($L$33="inc",TRUE,FALSE)</formula>
    </cfRule>
  </conditionalFormatting>
  <conditionalFormatting sqref="R36">
    <cfRule type="expression" dxfId="4" priority="16">
      <formula>IF($L$33="inc",TRUE,FALSE)</formula>
    </cfRule>
  </conditionalFormatting>
  <conditionalFormatting sqref="R40">
    <cfRule type="expression" dxfId="3" priority="15">
      <formula>IF($L$33="inc",TRUE,FALSE)</formula>
    </cfRule>
  </conditionalFormatting>
  <conditionalFormatting sqref="S23">
    <cfRule type="cellIs" dxfId="2" priority="13" operator="equal">
      <formula>"Data Input"</formula>
    </cfRule>
  </conditionalFormatting>
  <conditionalFormatting sqref="T23">
    <cfRule type="cellIs" dxfId="1" priority="10" operator="equal">
      <formula>"Data Input"</formula>
    </cfRule>
  </conditionalFormatting>
  <conditionalFormatting sqref="U23">
    <cfRule type="cellIs" dxfId="0" priority="7" operator="equal">
      <formula>"Data Input"</formula>
    </cfRule>
  </conditionalFormatting>
  <dataValidations count="13">
    <dataValidation type="list" allowBlank="1" showInputMessage="1" showErrorMessage="1" sqref="M39" xr:uid="{00000000-0002-0000-0400-000000000000}">
      <formula1>"RINGS,DISKS"</formula1>
    </dataValidation>
    <dataValidation allowBlank="1" showInputMessage="1" showErrorMessage="1" sqref="W2 W7 W4" xr:uid="{00000000-0002-0000-0400-000001000000}"/>
    <dataValidation type="list" allowBlank="1" showInputMessage="1" showErrorMessage="1" sqref="L40" xr:uid="{00000000-0002-0000-0400-000002000000}">
      <formula1>$BB$8:$BB$9</formula1>
    </dataValidation>
    <dataValidation type="list" allowBlank="1" showInputMessage="1" showErrorMessage="1" sqref="L36" xr:uid="{00000000-0002-0000-0400-000003000000}">
      <formula1>$AV$8:$AV$9</formula1>
    </dataValidation>
    <dataValidation type="list" allowBlank="1" showInputMessage="1" showErrorMessage="1" sqref="L33" xr:uid="{00000000-0002-0000-0400-000004000000}">
      <formula1>$AZ$8:$AZ$9</formula1>
    </dataValidation>
    <dataValidation type="list" allowBlank="1" showInputMessage="1" showErrorMessage="1" sqref="L23" xr:uid="{00000000-0002-0000-0400-000005000000}">
      <formula1>$AX$8:$AX$9</formula1>
    </dataValidation>
    <dataValidation type="list" allowBlank="1" showInputMessage="1" showErrorMessage="1" sqref="L22" xr:uid="{00000000-0002-0000-0400-000006000000}">
      <formula1>$AT$8:$AT$11</formula1>
    </dataValidation>
    <dataValidation type="list" allowBlank="1" showInputMessage="1" showErrorMessage="1" sqref="L21" xr:uid="{00000000-0002-0000-0400-000007000000}">
      <formula1>$AR$8:$AR$9</formula1>
    </dataValidation>
    <dataValidation type="list" allowBlank="1" showInputMessage="1" showErrorMessage="1" sqref="L18" xr:uid="{00000000-0002-0000-0400-000008000000}">
      <formula1>$AP$8:$AP$9</formula1>
    </dataValidation>
    <dataValidation type="list" allowBlank="1" showInputMessage="1" showErrorMessage="1" sqref="L17 L41" xr:uid="{00000000-0002-0000-0400-000009000000}">
      <formula1>$AN$8:$AN$15</formula1>
    </dataValidation>
    <dataValidation type="list" allowBlank="1" showInputMessage="1" showErrorMessage="1" sqref="L46:L49" xr:uid="{00000000-0002-0000-0400-00000A000000}">
      <formula1>$AL$8:$AL$13</formula1>
    </dataValidation>
    <dataValidation type="list" allowBlank="1" showInputMessage="1" showErrorMessage="1" sqref="M32:U32" xr:uid="{00000000-0002-0000-0400-00000B000000}">
      <formula1>"DA;SA"</formula1>
    </dataValidation>
    <dataValidation type="list" allowBlank="1" showInputMessage="1" showErrorMessage="1" sqref="S7:U7" xr:uid="{00000000-0002-0000-0400-00000C000000}">
      <formula1>"si;no"</formula1>
    </dataValidation>
  </dataValidations>
  <printOptions horizontalCentered="1"/>
  <pageMargins left="0.19685039370078741" right="0.19685039370078741" top="0.59055118110236227" bottom="0.19685039370078741" header="0.51181102362204722" footer="0.51181102362204722"/>
  <pageSetup paperSize="9" scale="86" orientation="portrait" horizontalDpi="300" verticalDpi="4294967292" r:id="rId1"/>
  <headerFooter alignWithMargins="0"/>
  <rowBreaks count="1" manualBreakCount="1">
    <brk id="65" max="16383" man="1"/>
  </rowBreaks>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NumberOfServices">
              <controlPr defaultSize="0" autoLine="0" autoPict="0" macro="[0]!Input_Budget">
                <anchor moveWithCells="1">
                  <from>
                    <xdr:col>21</xdr:col>
                    <xdr:colOff>120650</xdr:colOff>
                    <xdr:row>0</xdr:row>
                    <xdr:rowOff>273050</xdr:rowOff>
                  </from>
                  <to>
                    <xdr:col>23</xdr:col>
                    <xdr:colOff>25400</xdr:colOff>
                    <xdr:row>2</xdr:row>
                    <xdr:rowOff>6350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dimension ref="A1:D15"/>
  <sheetViews>
    <sheetView showGridLines="0" workbookViewId="0">
      <selection activeCell="D9" sqref="D9:D14"/>
    </sheetView>
  </sheetViews>
  <sheetFormatPr defaultRowHeight="12.5"/>
  <cols>
    <col min="1" max="1" width="27.54296875" customWidth="1"/>
    <col min="2" max="2" width="18.08984375" customWidth="1"/>
    <col min="3" max="3" width="13.90625" bestFit="1" customWidth="1"/>
  </cols>
  <sheetData>
    <row r="1" spans="1:4" ht="26">
      <c r="A1" s="291" t="s">
        <v>603</v>
      </c>
      <c r="B1" s="292" t="s">
        <v>604</v>
      </c>
      <c r="C1" s="291" t="s">
        <v>132</v>
      </c>
      <c r="D1" s="291" t="s">
        <v>605</v>
      </c>
    </row>
    <row r="2" spans="1:4">
      <c r="A2" t="s">
        <v>1049</v>
      </c>
      <c r="B2" t="s">
        <v>167</v>
      </c>
      <c r="C2" t="s">
        <v>1045</v>
      </c>
      <c r="D2" s="293">
        <v>97300</v>
      </c>
    </row>
    <row r="3" spans="1:4">
      <c r="A3" t="s">
        <v>1049</v>
      </c>
      <c r="B3" t="s">
        <v>167</v>
      </c>
      <c r="C3" t="s">
        <v>1046</v>
      </c>
      <c r="D3" s="293">
        <v>70900</v>
      </c>
    </row>
    <row r="4" spans="1:4">
      <c r="A4" t="s">
        <v>1049</v>
      </c>
      <c r="B4" t="s">
        <v>152</v>
      </c>
      <c r="C4" t="s">
        <v>1045</v>
      </c>
      <c r="D4" s="293">
        <v>97300</v>
      </c>
    </row>
    <row r="5" spans="1:4">
      <c r="A5" t="s">
        <v>1049</v>
      </c>
      <c r="B5" t="s">
        <v>152</v>
      </c>
      <c r="C5" t="s">
        <v>1046</v>
      </c>
      <c r="D5" s="293">
        <v>70900</v>
      </c>
    </row>
    <row r="6" spans="1:4">
      <c r="D6" s="293"/>
    </row>
    <row r="7" spans="1:4">
      <c r="D7" s="293"/>
    </row>
    <row r="8" spans="1:4">
      <c r="D8" s="293"/>
    </row>
    <row r="9" spans="1:4">
      <c r="D9" s="294"/>
    </row>
    <row r="10" spans="1:4">
      <c r="D10" s="294"/>
    </row>
    <row r="11" spans="1:4">
      <c r="D11" s="294"/>
    </row>
    <row r="12" spans="1:4">
      <c r="D12" s="294"/>
    </row>
    <row r="13" spans="1:4">
      <c r="D13" s="294"/>
    </row>
    <row r="14" spans="1:4">
      <c r="D14" s="294"/>
    </row>
    <row r="15" spans="1:4">
      <c r="D15" s="294"/>
    </row>
  </sheetData>
  <sheetProtection algorithmName="SHA-512" hashValue="WxJTX9mBBbbUa51J98IXYFy3ttfJhfa5Bc1Fhbt82vTwSRZjw8yOxNlMz1AOyILqRH9YXGq9ienGZjGmqHzJig==" saltValue="C6/UHxiBBPYm+lppyJroQA==" spinCount="100000"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5"/>
  <dimension ref="A1:T181"/>
  <sheetViews>
    <sheetView showGridLines="0" zoomScaleNormal="100" workbookViewId="0">
      <selection activeCell="A2" sqref="A2:A13"/>
    </sheetView>
  </sheetViews>
  <sheetFormatPr defaultColWidth="9.08984375" defaultRowHeight="15.5"/>
  <cols>
    <col min="1" max="1" width="6.6328125" style="534" bestFit="1" customWidth="1"/>
    <col min="2" max="2" width="21" style="508" bestFit="1" customWidth="1"/>
    <col min="3" max="3" width="134" style="509" customWidth="1"/>
    <col min="4" max="16384" width="9.08984375" style="502"/>
  </cols>
  <sheetData>
    <row r="1" spans="1:8" s="500" customFormat="1" ht="16" thickBot="1">
      <c r="A1" s="499" t="s">
        <v>716</v>
      </c>
      <c r="B1" s="499" t="s">
        <v>717</v>
      </c>
      <c r="C1" s="499" t="s">
        <v>718</v>
      </c>
    </row>
    <row r="2" spans="1:8" ht="46.5">
      <c r="A2" s="836">
        <v>1</v>
      </c>
      <c r="B2" s="839" t="s">
        <v>721</v>
      </c>
      <c r="C2" s="525" t="s">
        <v>722</v>
      </c>
      <c r="D2" s="501"/>
      <c r="E2" s="501"/>
      <c r="F2" s="501"/>
      <c r="G2" s="501"/>
      <c r="H2" s="501"/>
    </row>
    <row r="3" spans="1:8" ht="31">
      <c r="A3" s="837"/>
      <c r="B3" s="840"/>
      <c r="C3" s="503" t="s">
        <v>785</v>
      </c>
      <c r="D3" s="501"/>
      <c r="E3" s="501"/>
      <c r="F3" s="501"/>
      <c r="G3" s="501"/>
      <c r="H3" s="501"/>
    </row>
    <row r="4" spans="1:8">
      <c r="A4" s="837"/>
      <c r="B4" s="840"/>
      <c r="C4" s="541" t="s">
        <v>786</v>
      </c>
      <c r="D4" s="501"/>
      <c r="E4" s="501"/>
      <c r="F4" s="501"/>
      <c r="G4" s="501"/>
      <c r="H4" s="501"/>
    </row>
    <row r="5" spans="1:8" ht="31">
      <c r="A5" s="837"/>
      <c r="B5" s="840"/>
      <c r="C5" s="541" t="s">
        <v>787</v>
      </c>
      <c r="D5" s="501"/>
      <c r="E5" s="501"/>
      <c r="F5" s="501"/>
      <c r="G5" s="501"/>
      <c r="H5" s="501"/>
    </row>
    <row r="6" spans="1:8" ht="46.5">
      <c r="A6" s="837"/>
      <c r="B6" s="840"/>
      <c r="C6" s="503" t="s">
        <v>788</v>
      </c>
      <c r="D6" s="501"/>
      <c r="E6" s="501"/>
      <c r="F6" s="501"/>
      <c r="G6" s="501"/>
      <c r="H6" s="501"/>
    </row>
    <row r="7" spans="1:8" ht="31">
      <c r="A7" s="837"/>
      <c r="B7" s="840"/>
      <c r="C7" s="503" t="s">
        <v>789</v>
      </c>
      <c r="D7" s="501"/>
      <c r="E7" s="501"/>
      <c r="F7" s="501"/>
      <c r="G7" s="501"/>
      <c r="H7" s="501"/>
    </row>
    <row r="8" spans="1:8" ht="46.5">
      <c r="A8" s="837"/>
      <c r="B8" s="840"/>
      <c r="C8" s="503" t="s">
        <v>790</v>
      </c>
      <c r="D8" s="501"/>
      <c r="E8" s="501"/>
      <c r="F8" s="501"/>
      <c r="G8" s="501"/>
      <c r="H8" s="501"/>
    </row>
    <row r="9" spans="1:8">
      <c r="A9" s="837"/>
      <c r="B9" s="840"/>
      <c r="C9" s="503" t="s">
        <v>791</v>
      </c>
      <c r="D9" s="501"/>
      <c r="E9" s="501"/>
      <c r="F9" s="501"/>
      <c r="G9" s="501"/>
      <c r="H9" s="501"/>
    </row>
    <row r="10" spans="1:8">
      <c r="A10" s="837"/>
      <c r="B10" s="840"/>
      <c r="C10" s="541" t="s">
        <v>792</v>
      </c>
      <c r="D10" s="501"/>
      <c r="E10" s="501"/>
      <c r="F10" s="501"/>
      <c r="G10" s="501"/>
      <c r="H10" s="501"/>
    </row>
    <row r="11" spans="1:8">
      <c r="A11" s="837"/>
      <c r="B11" s="840"/>
      <c r="C11" s="541" t="s">
        <v>793</v>
      </c>
      <c r="D11" s="501"/>
      <c r="E11" s="501"/>
      <c r="F11" s="501"/>
      <c r="G11" s="501"/>
      <c r="H11" s="501"/>
    </row>
    <row r="12" spans="1:8" ht="31">
      <c r="A12" s="837"/>
      <c r="B12" s="840"/>
      <c r="C12" s="541" t="s">
        <v>794</v>
      </c>
      <c r="D12" s="501"/>
      <c r="E12" s="501"/>
      <c r="F12" s="501"/>
      <c r="G12" s="501"/>
      <c r="H12" s="501"/>
    </row>
    <row r="13" spans="1:8" ht="46.5">
      <c r="A13" s="838"/>
      <c r="B13" s="841"/>
      <c r="C13" s="526" t="s">
        <v>795</v>
      </c>
      <c r="D13" s="501"/>
      <c r="E13" s="501"/>
      <c r="F13" s="501"/>
      <c r="G13" s="501"/>
      <c r="H13" s="501"/>
    </row>
    <row r="14" spans="1:8">
      <c r="A14" s="536">
        <v>2</v>
      </c>
      <c r="B14" s="538" t="s">
        <v>723</v>
      </c>
      <c r="C14" s="527" t="s">
        <v>724</v>
      </c>
      <c r="D14" s="501"/>
      <c r="E14" s="501"/>
      <c r="F14" s="501"/>
      <c r="G14" s="501"/>
      <c r="H14" s="501"/>
    </row>
    <row r="15" spans="1:8" ht="62">
      <c r="A15" s="842">
        <v>3</v>
      </c>
      <c r="B15" s="843" t="s">
        <v>725</v>
      </c>
      <c r="C15" s="528" t="s">
        <v>796</v>
      </c>
      <c r="D15" s="501"/>
      <c r="E15" s="501"/>
      <c r="F15" s="501"/>
      <c r="G15" s="501"/>
      <c r="H15" s="501"/>
    </row>
    <row r="16" spans="1:8">
      <c r="A16" s="837"/>
      <c r="B16" s="840"/>
      <c r="C16" s="528" t="s">
        <v>726</v>
      </c>
      <c r="D16" s="501"/>
      <c r="E16" s="501"/>
      <c r="F16" s="501"/>
      <c r="G16" s="501"/>
      <c r="H16" s="501"/>
    </row>
    <row r="17" spans="1:8">
      <c r="A17" s="837"/>
      <c r="B17" s="840"/>
      <c r="C17" s="528" t="s">
        <v>727</v>
      </c>
      <c r="D17" s="501"/>
      <c r="E17" s="501"/>
      <c r="F17" s="501"/>
      <c r="G17" s="501"/>
      <c r="H17" s="501"/>
    </row>
    <row r="18" spans="1:8" ht="46.5">
      <c r="A18" s="837"/>
      <c r="B18" s="840"/>
      <c r="C18" s="528" t="s">
        <v>728</v>
      </c>
      <c r="D18" s="501"/>
      <c r="E18" s="501"/>
      <c r="F18" s="501"/>
      <c r="G18" s="501"/>
      <c r="H18" s="501"/>
    </row>
    <row r="19" spans="1:8" ht="46.5">
      <c r="A19" s="838"/>
      <c r="B19" s="841"/>
      <c r="C19" s="529" t="s">
        <v>729</v>
      </c>
      <c r="D19" s="501"/>
      <c r="E19" s="501"/>
      <c r="F19" s="501"/>
      <c r="G19" s="501"/>
      <c r="H19" s="501"/>
    </row>
    <row r="20" spans="1:8" ht="46.5">
      <c r="A20" s="842">
        <v>4</v>
      </c>
      <c r="B20" s="843" t="s">
        <v>730</v>
      </c>
      <c r="C20" s="503" t="s">
        <v>731</v>
      </c>
      <c r="D20" s="503"/>
      <c r="E20" s="503"/>
      <c r="F20" s="503"/>
      <c r="G20" s="503"/>
      <c r="H20" s="503"/>
    </row>
    <row r="21" spans="1:8" ht="95">
      <c r="A21" s="837"/>
      <c r="B21" s="840"/>
      <c r="C21" s="503" t="s">
        <v>732</v>
      </c>
      <c r="D21" s="503"/>
      <c r="E21" s="503"/>
      <c r="F21" s="503"/>
      <c r="G21" s="503"/>
      <c r="H21" s="503"/>
    </row>
    <row r="22" spans="1:8" ht="46.5">
      <c r="A22" s="837"/>
      <c r="B22" s="840"/>
      <c r="C22" s="503" t="s">
        <v>797</v>
      </c>
      <c r="D22" s="503"/>
      <c r="E22" s="503"/>
      <c r="F22" s="503"/>
      <c r="G22" s="503"/>
      <c r="H22" s="503"/>
    </row>
    <row r="23" spans="1:8" ht="46.5">
      <c r="A23" s="837"/>
      <c r="B23" s="840"/>
      <c r="C23" s="503" t="s">
        <v>798</v>
      </c>
      <c r="D23" s="503"/>
      <c r="E23" s="503"/>
      <c r="F23" s="503"/>
      <c r="G23" s="503"/>
      <c r="H23" s="503"/>
    </row>
    <row r="24" spans="1:8" ht="46.5">
      <c r="A24" s="837"/>
      <c r="B24" s="840"/>
      <c r="C24" s="503" t="s">
        <v>733</v>
      </c>
      <c r="D24" s="503"/>
      <c r="E24" s="503"/>
      <c r="F24" s="503"/>
      <c r="G24" s="503"/>
      <c r="H24" s="503"/>
    </row>
    <row r="25" spans="1:8" ht="31">
      <c r="A25" s="837"/>
      <c r="B25" s="840"/>
      <c r="C25" s="503" t="s">
        <v>734</v>
      </c>
      <c r="D25" s="503"/>
      <c r="E25" s="503"/>
      <c r="F25" s="503"/>
      <c r="G25" s="503"/>
      <c r="H25" s="503"/>
    </row>
    <row r="26" spans="1:8" ht="31">
      <c r="A26" s="536"/>
      <c r="B26" s="538"/>
      <c r="C26" s="526" t="s">
        <v>799</v>
      </c>
      <c r="D26" s="503"/>
      <c r="E26" s="503"/>
      <c r="F26" s="503"/>
      <c r="G26" s="503"/>
      <c r="H26" s="503"/>
    </row>
    <row r="27" spans="1:8" ht="46.5">
      <c r="A27" s="536">
        <v>5</v>
      </c>
      <c r="B27" s="538" t="s">
        <v>735</v>
      </c>
      <c r="C27" s="526" t="s">
        <v>719</v>
      </c>
      <c r="D27" s="501"/>
      <c r="E27" s="501"/>
      <c r="F27" s="501"/>
      <c r="G27" s="501"/>
      <c r="H27" s="501"/>
    </row>
    <row r="28" spans="1:8" ht="46.5">
      <c r="A28" s="536">
        <v>6</v>
      </c>
      <c r="B28" s="538" t="s">
        <v>300</v>
      </c>
      <c r="C28" s="526" t="s">
        <v>800</v>
      </c>
      <c r="D28" s="501"/>
      <c r="E28" s="501"/>
      <c r="F28" s="501"/>
      <c r="G28" s="501"/>
      <c r="H28" s="501"/>
    </row>
    <row r="29" spans="1:8" ht="93">
      <c r="A29" s="530">
        <v>7</v>
      </c>
      <c r="B29" s="504" t="s">
        <v>736</v>
      </c>
      <c r="C29" s="531" t="s">
        <v>737</v>
      </c>
      <c r="D29" s="503"/>
      <c r="E29" s="503"/>
      <c r="F29" s="503"/>
      <c r="G29" s="503"/>
      <c r="H29" s="503"/>
    </row>
    <row r="30" spans="1:8" ht="45" customHeight="1">
      <c r="A30" s="842">
        <v>8</v>
      </c>
      <c r="B30" s="843" t="s">
        <v>738</v>
      </c>
      <c r="C30" s="503" t="s">
        <v>739</v>
      </c>
      <c r="D30" s="503"/>
      <c r="E30" s="503"/>
      <c r="F30" s="503"/>
      <c r="G30" s="503"/>
      <c r="H30" s="503"/>
    </row>
    <row r="31" spans="1:8" ht="31">
      <c r="A31" s="837"/>
      <c r="B31" s="840"/>
      <c r="C31" s="503" t="s">
        <v>740</v>
      </c>
      <c r="D31" s="503"/>
      <c r="E31" s="503"/>
      <c r="F31" s="503"/>
      <c r="G31" s="503"/>
      <c r="H31" s="503"/>
    </row>
    <row r="32" spans="1:8">
      <c r="A32" s="837"/>
      <c r="B32" s="840"/>
      <c r="C32" s="503" t="s">
        <v>741</v>
      </c>
      <c r="D32" s="503"/>
      <c r="E32" s="503"/>
      <c r="F32" s="503"/>
      <c r="G32" s="503"/>
      <c r="H32" s="503"/>
    </row>
    <row r="33" spans="1:8" ht="31">
      <c r="A33" s="837"/>
      <c r="B33" s="840"/>
      <c r="C33" s="503" t="s">
        <v>742</v>
      </c>
      <c r="D33" s="503"/>
      <c r="E33" s="503"/>
      <c r="F33" s="503"/>
      <c r="G33" s="503"/>
      <c r="H33" s="503"/>
    </row>
    <row r="34" spans="1:8" ht="31">
      <c r="A34" s="837"/>
      <c r="B34" s="840"/>
      <c r="C34" s="503" t="s">
        <v>743</v>
      </c>
      <c r="D34" s="503"/>
      <c r="E34" s="503"/>
      <c r="F34" s="503"/>
      <c r="G34" s="503"/>
      <c r="H34" s="503"/>
    </row>
    <row r="35" spans="1:8">
      <c r="A35" s="838"/>
      <c r="B35" s="841"/>
      <c r="C35" s="526"/>
      <c r="D35" s="503"/>
      <c r="E35" s="503"/>
      <c r="F35" s="503"/>
      <c r="G35" s="503"/>
      <c r="H35" s="503"/>
    </row>
    <row r="36" spans="1:8" ht="31">
      <c r="A36" s="842">
        <v>9</v>
      </c>
      <c r="B36" s="843" t="s">
        <v>744</v>
      </c>
      <c r="C36" s="532" t="s">
        <v>745</v>
      </c>
      <c r="D36" s="501"/>
      <c r="E36" s="501"/>
      <c r="F36" s="501"/>
      <c r="G36" s="501"/>
      <c r="H36" s="501"/>
    </row>
    <row r="37" spans="1:8">
      <c r="A37" s="837"/>
      <c r="B37" s="840"/>
      <c r="C37" s="503" t="s">
        <v>746</v>
      </c>
      <c r="D37" s="501"/>
      <c r="E37" s="501"/>
      <c r="F37" s="501"/>
      <c r="G37" s="501"/>
      <c r="H37" s="501"/>
    </row>
    <row r="38" spans="1:8" ht="31">
      <c r="A38" s="837"/>
      <c r="B38" s="840"/>
      <c r="C38" s="503" t="s">
        <v>747</v>
      </c>
      <c r="D38" s="501"/>
      <c r="E38" s="501"/>
      <c r="F38" s="501"/>
      <c r="G38" s="501"/>
      <c r="H38" s="501"/>
    </row>
    <row r="39" spans="1:8">
      <c r="A39" s="837"/>
      <c r="B39" s="840"/>
      <c r="C39" s="532" t="s">
        <v>748</v>
      </c>
      <c r="D39" s="501"/>
      <c r="E39" s="501"/>
      <c r="F39" s="501"/>
      <c r="G39" s="501"/>
      <c r="H39" s="501"/>
    </row>
    <row r="40" spans="1:8">
      <c r="A40" s="837"/>
      <c r="B40" s="840"/>
      <c r="C40" s="503" t="s">
        <v>749</v>
      </c>
      <c r="D40" s="501"/>
      <c r="E40" s="501"/>
      <c r="F40" s="501"/>
      <c r="G40" s="501"/>
      <c r="H40" s="501"/>
    </row>
    <row r="41" spans="1:8" ht="31">
      <c r="A41" s="838"/>
      <c r="B41" s="841"/>
      <c r="C41" s="526" t="s">
        <v>750</v>
      </c>
      <c r="D41" s="501"/>
      <c r="E41" s="501"/>
      <c r="F41" s="501"/>
      <c r="G41" s="501"/>
      <c r="H41" s="501"/>
    </row>
    <row r="42" spans="1:8">
      <c r="A42" s="842">
        <v>10</v>
      </c>
      <c r="B42" s="843" t="s">
        <v>311</v>
      </c>
      <c r="C42" s="532" t="s">
        <v>751</v>
      </c>
      <c r="D42" s="501"/>
      <c r="E42" s="501"/>
      <c r="F42" s="501"/>
      <c r="G42" s="501"/>
      <c r="H42" s="501"/>
    </row>
    <row r="43" spans="1:8">
      <c r="A43" s="837"/>
      <c r="B43" s="840"/>
      <c r="C43" s="503" t="s">
        <v>752</v>
      </c>
      <c r="D43" s="501"/>
      <c r="E43" s="501"/>
      <c r="F43" s="501"/>
      <c r="G43" s="501"/>
      <c r="H43" s="501"/>
    </row>
    <row r="44" spans="1:8">
      <c r="A44" s="837"/>
      <c r="B44" s="840"/>
      <c r="C44" s="503" t="s">
        <v>753</v>
      </c>
      <c r="D44" s="501"/>
      <c r="E44" s="501"/>
      <c r="F44" s="501"/>
      <c r="G44" s="501"/>
      <c r="H44" s="501"/>
    </row>
    <row r="45" spans="1:8">
      <c r="A45" s="837"/>
      <c r="B45" s="840"/>
      <c r="C45" s="503" t="s">
        <v>754</v>
      </c>
      <c r="D45" s="501"/>
      <c r="E45" s="501"/>
      <c r="F45" s="501"/>
      <c r="G45" s="501"/>
      <c r="H45" s="501"/>
    </row>
    <row r="46" spans="1:8">
      <c r="A46" s="837"/>
      <c r="B46" s="840"/>
      <c r="C46" s="503" t="s">
        <v>755</v>
      </c>
      <c r="D46" s="501"/>
      <c r="E46" s="501"/>
      <c r="F46" s="501"/>
      <c r="G46" s="501"/>
      <c r="H46" s="501"/>
    </row>
    <row r="47" spans="1:8">
      <c r="A47" s="837"/>
      <c r="B47" s="840"/>
      <c r="C47" s="503" t="s">
        <v>756</v>
      </c>
      <c r="D47" s="501"/>
      <c r="E47" s="501"/>
      <c r="F47" s="501"/>
      <c r="G47" s="501"/>
      <c r="H47" s="501"/>
    </row>
    <row r="48" spans="1:8">
      <c r="A48" s="837"/>
      <c r="B48" s="840"/>
      <c r="C48" s="503" t="s">
        <v>757</v>
      </c>
      <c r="D48" s="501"/>
      <c r="E48" s="501"/>
      <c r="F48" s="501"/>
      <c r="G48" s="501"/>
      <c r="H48" s="501"/>
    </row>
    <row r="49" spans="1:8">
      <c r="A49" s="837"/>
      <c r="B49" s="840"/>
      <c r="C49" s="503" t="s">
        <v>758</v>
      </c>
      <c r="D49" s="501"/>
      <c r="E49" s="501"/>
      <c r="F49" s="501"/>
      <c r="G49" s="501"/>
      <c r="H49" s="501"/>
    </row>
    <row r="50" spans="1:8">
      <c r="A50" s="837"/>
      <c r="B50" s="840"/>
      <c r="C50" s="503" t="s">
        <v>759</v>
      </c>
      <c r="D50" s="501"/>
      <c r="E50" s="501"/>
      <c r="F50" s="501"/>
      <c r="G50" s="501"/>
      <c r="H50" s="501"/>
    </row>
    <row r="51" spans="1:8">
      <c r="A51" s="837"/>
      <c r="B51" s="840"/>
      <c r="C51" s="503" t="s">
        <v>760</v>
      </c>
      <c r="D51" s="501"/>
      <c r="E51" s="501"/>
      <c r="F51" s="501"/>
      <c r="G51" s="501"/>
      <c r="H51" s="501"/>
    </row>
    <row r="52" spans="1:8">
      <c r="A52" s="837"/>
      <c r="B52" s="840"/>
      <c r="C52" s="503" t="s">
        <v>761</v>
      </c>
      <c r="D52" s="501"/>
      <c r="E52" s="501"/>
      <c r="F52" s="501"/>
      <c r="G52" s="501"/>
      <c r="H52" s="501"/>
    </row>
    <row r="53" spans="1:8">
      <c r="A53" s="837"/>
      <c r="B53" s="840"/>
      <c r="C53" s="503" t="s">
        <v>762</v>
      </c>
      <c r="D53" s="501"/>
      <c r="E53" s="501"/>
      <c r="F53" s="501"/>
      <c r="G53" s="501"/>
      <c r="H53" s="501"/>
    </row>
    <row r="54" spans="1:8">
      <c r="A54" s="837"/>
      <c r="B54" s="840"/>
      <c r="C54" s="503" t="s">
        <v>763</v>
      </c>
      <c r="D54" s="501"/>
      <c r="E54" s="501"/>
      <c r="F54" s="501"/>
      <c r="G54" s="501"/>
      <c r="H54" s="501"/>
    </row>
    <row r="55" spans="1:8" ht="31">
      <c r="A55" s="838"/>
      <c r="B55" s="841"/>
      <c r="C55" s="526" t="s">
        <v>764</v>
      </c>
      <c r="D55" s="501"/>
      <c r="E55" s="501"/>
      <c r="F55" s="501"/>
      <c r="G55" s="501"/>
      <c r="H55" s="501"/>
    </row>
    <row r="56" spans="1:8">
      <c r="A56" s="842">
        <v>11</v>
      </c>
      <c r="B56" s="843" t="s">
        <v>765</v>
      </c>
      <c r="C56" s="533" t="s">
        <v>766</v>
      </c>
      <c r="D56" s="503"/>
      <c r="E56" s="503"/>
      <c r="F56" s="503"/>
      <c r="G56" s="503"/>
      <c r="H56" s="503"/>
    </row>
    <row r="57" spans="1:8">
      <c r="A57" s="837"/>
      <c r="B57" s="840"/>
      <c r="C57" s="541" t="s">
        <v>767</v>
      </c>
      <c r="D57" s="503"/>
      <c r="E57" s="503"/>
      <c r="F57" s="503"/>
      <c r="G57" s="503"/>
      <c r="H57" s="503"/>
    </row>
    <row r="58" spans="1:8">
      <c r="A58" s="837"/>
      <c r="B58" s="840"/>
      <c r="C58" s="541" t="s">
        <v>768</v>
      </c>
      <c r="D58" s="503"/>
      <c r="E58" s="503"/>
      <c r="F58" s="503"/>
      <c r="G58" s="503"/>
      <c r="H58" s="503"/>
    </row>
    <row r="59" spans="1:8">
      <c r="A59" s="837"/>
      <c r="B59" s="840"/>
      <c r="C59" s="541" t="s">
        <v>769</v>
      </c>
      <c r="D59" s="503"/>
      <c r="E59" s="503"/>
      <c r="F59" s="503"/>
      <c r="G59" s="503"/>
      <c r="H59" s="503"/>
    </row>
    <row r="60" spans="1:8">
      <c r="A60" s="837"/>
      <c r="B60" s="840"/>
      <c r="C60" s="541" t="s">
        <v>770</v>
      </c>
      <c r="D60" s="503"/>
      <c r="E60" s="503"/>
      <c r="F60" s="503"/>
      <c r="G60" s="503"/>
      <c r="H60" s="503"/>
    </row>
    <row r="61" spans="1:8" ht="31">
      <c r="A61" s="838"/>
      <c r="B61" s="841"/>
      <c r="C61" s="542" t="s">
        <v>771</v>
      </c>
      <c r="D61" s="503"/>
      <c r="E61" s="503"/>
      <c r="F61" s="503"/>
      <c r="G61" s="503"/>
      <c r="H61" s="503"/>
    </row>
    <row r="62" spans="1:8" ht="30" customHeight="1">
      <c r="A62" s="844">
        <v>12</v>
      </c>
      <c r="B62" s="843" t="s">
        <v>772</v>
      </c>
      <c r="C62" s="533" t="s">
        <v>801</v>
      </c>
      <c r="D62" s="503"/>
      <c r="E62" s="503"/>
      <c r="F62" s="503"/>
      <c r="G62" s="503"/>
      <c r="H62" s="503"/>
    </row>
    <row r="63" spans="1:8">
      <c r="A63" s="845"/>
      <c r="B63" s="840"/>
      <c r="C63" s="503" t="s">
        <v>802</v>
      </c>
      <c r="D63" s="503"/>
      <c r="E63" s="503"/>
      <c r="F63" s="503"/>
      <c r="G63" s="503"/>
      <c r="H63" s="503"/>
    </row>
    <row r="64" spans="1:8">
      <c r="A64" s="845"/>
      <c r="B64" s="840"/>
      <c r="C64" s="541" t="s">
        <v>803</v>
      </c>
      <c r="D64" s="503"/>
      <c r="E64" s="503"/>
      <c r="F64" s="503"/>
      <c r="G64" s="503"/>
      <c r="H64" s="503"/>
    </row>
    <row r="65" spans="1:20">
      <c r="A65" s="845"/>
      <c r="B65" s="840"/>
      <c r="C65" s="541" t="s">
        <v>804</v>
      </c>
      <c r="D65" s="503"/>
      <c r="E65" s="503"/>
      <c r="F65" s="503"/>
      <c r="G65" s="503"/>
      <c r="H65" s="503"/>
    </row>
    <row r="66" spans="1:20">
      <c r="A66" s="845"/>
      <c r="B66" s="840"/>
      <c r="C66" s="541" t="s">
        <v>805</v>
      </c>
      <c r="D66" s="503"/>
      <c r="E66" s="503"/>
      <c r="F66" s="503"/>
      <c r="G66" s="503"/>
      <c r="H66" s="503"/>
    </row>
    <row r="67" spans="1:20" ht="31">
      <c r="A67" s="845"/>
      <c r="B67" s="840"/>
      <c r="C67" s="541" t="s">
        <v>806</v>
      </c>
      <c r="D67" s="503"/>
      <c r="E67" s="503"/>
      <c r="F67" s="503"/>
      <c r="G67" s="503"/>
      <c r="H67" s="503"/>
    </row>
    <row r="68" spans="1:20" ht="46.5">
      <c r="A68" s="845"/>
      <c r="B68" s="840"/>
      <c r="C68" s="503" t="s">
        <v>773</v>
      </c>
      <c r="D68" s="503"/>
      <c r="E68" s="503"/>
      <c r="F68" s="503"/>
      <c r="G68" s="503"/>
      <c r="H68" s="503"/>
    </row>
    <row r="69" spans="1:20" ht="46.5">
      <c r="A69" s="846"/>
      <c r="B69" s="841"/>
      <c r="C69" s="526" t="s">
        <v>807</v>
      </c>
      <c r="D69" s="503"/>
      <c r="E69" s="503"/>
      <c r="F69" s="503"/>
      <c r="G69" s="503"/>
      <c r="H69" s="503"/>
    </row>
    <row r="70" spans="1:20" ht="31">
      <c r="A70" s="842">
        <v>13</v>
      </c>
      <c r="B70" s="843" t="s">
        <v>774</v>
      </c>
      <c r="C70" s="543" t="s">
        <v>808</v>
      </c>
      <c r="D70" s="505"/>
      <c r="E70" s="505"/>
      <c r="F70" s="505"/>
      <c r="G70" s="505"/>
      <c r="H70" s="505"/>
      <c r="I70" s="506"/>
      <c r="J70" s="507"/>
      <c r="K70" s="507"/>
      <c r="L70" s="507"/>
      <c r="M70" s="507"/>
      <c r="N70" s="507"/>
      <c r="O70" s="503"/>
      <c r="P70" s="507"/>
      <c r="Q70" s="507"/>
      <c r="R70" s="507"/>
      <c r="S70" s="507"/>
      <c r="T70" s="507"/>
    </row>
    <row r="71" spans="1:20" ht="62">
      <c r="A71" s="837"/>
      <c r="B71" s="840"/>
      <c r="C71" s="503" t="s">
        <v>809</v>
      </c>
      <c r="D71" s="505"/>
      <c r="E71" s="505"/>
      <c r="F71" s="505"/>
      <c r="G71" s="505"/>
      <c r="H71" s="505"/>
      <c r="I71" s="506"/>
      <c r="J71" s="507"/>
      <c r="K71" s="507"/>
      <c r="L71" s="507"/>
      <c r="M71" s="507"/>
      <c r="N71" s="507"/>
      <c r="O71" s="503"/>
      <c r="P71" s="507"/>
      <c r="Q71" s="507"/>
      <c r="R71" s="507"/>
      <c r="S71" s="507"/>
      <c r="T71" s="507"/>
    </row>
    <row r="72" spans="1:20" ht="62">
      <c r="A72" s="838"/>
      <c r="B72" s="841"/>
      <c r="C72" s="526" t="s">
        <v>810</v>
      </c>
      <c r="D72" s="505"/>
      <c r="E72" s="505"/>
      <c r="F72" s="505"/>
      <c r="G72" s="505"/>
      <c r="H72" s="505"/>
      <c r="I72" s="506"/>
      <c r="J72" s="507"/>
      <c r="K72" s="507"/>
      <c r="L72" s="507"/>
      <c r="M72" s="507"/>
      <c r="N72" s="507"/>
      <c r="O72" s="503"/>
      <c r="P72" s="507"/>
      <c r="Q72" s="507"/>
      <c r="R72" s="507"/>
      <c r="S72" s="507"/>
      <c r="T72" s="507"/>
    </row>
    <row r="73" spans="1:20" ht="31">
      <c r="A73" s="536">
        <v>14</v>
      </c>
      <c r="B73" s="504" t="s">
        <v>775</v>
      </c>
      <c r="C73" s="531" t="s">
        <v>776</v>
      </c>
      <c r="D73" s="505"/>
      <c r="E73" s="505"/>
      <c r="F73" s="505"/>
      <c r="G73" s="505"/>
      <c r="H73" s="505"/>
      <c r="I73" s="506"/>
      <c r="J73" s="507"/>
      <c r="K73" s="507"/>
      <c r="L73" s="507"/>
      <c r="M73" s="507"/>
      <c r="N73" s="507"/>
      <c r="O73" s="503"/>
      <c r="P73" s="507"/>
      <c r="Q73" s="507"/>
      <c r="R73" s="507"/>
      <c r="S73" s="507"/>
      <c r="T73" s="507"/>
    </row>
    <row r="74" spans="1:20" ht="46.5">
      <c r="A74" s="530">
        <v>15</v>
      </c>
      <c r="B74" s="504" t="s">
        <v>777</v>
      </c>
      <c r="C74" s="531" t="s">
        <v>720</v>
      </c>
      <c r="D74" s="505"/>
      <c r="E74" s="505"/>
      <c r="F74" s="505"/>
      <c r="G74" s="505"/>
      <c r="H74" s="505"/>
      <c r="I74" s="506"/>
      <c r="J74" s="507"/>
      <c r="K74" s="507"/>
      <c r="L74" s="507"/>
      <c r="M74" s="507"/>
      <c r="N74" s="507"/>
      <c r="O74" s="503"/>
      <c r="P74" s="507"/>
      <c r="Q74" s="507"/>
      <c r="R74" s="507"/>
      <c r="S74" s="507"/>
      <c r="T74" s="507"/>
    </row>
    <row r="75" spans="1:20" ht="46.5">
      <c r="A75" s="536">
        <v>16</v>
      </c>
      <c r="B75" s="504" t="s">
        <v>778</v>
      </c>
      <c r="C75" s="531" t="s">
        <v>779</v>
      </c>
      <c r="D75" s="505"/>
      <c r="E75" s="505"/>
      <c r="F75" s="505"/>
      <c r="G75" s="505"/>
      <c r="H75" s="505"/>
      <c r="I75" s="506"/>
      <c r="J75" s="507"/>
      <c r="K75" s="507"/>
      <c r="L75" s="507"/>
      <c r="M75" s="507"/>
      <c r="N75" s="507"/>
      <c r="O75" s="503"/>
      <c r="P75" s="507"/>
      <c r="Q75" s="507"/>
      <c r="R75" s="507"/>
      <c r="S75" s="507"/>
      <c r="T75" s="507"/>
    </row>
    <row r="76" spans="1:20" ht="93">
      <c r="A76" s="530">
        <v>17</v>
      </c>
      <c r="B76" s="504" t="s">
        <v>780</v>
      </c>
      <c r="C76" s="531" t="s">
        <v>781</v>
      </c>
      <c r="D76" s="505"/>
      <c r="E76" s="505"/>
      <c r="F76" s="505"/>
      <c r="G76" s="505"/>
      <c r="H76" s="505"/>
      <c r="I76" s="506"/>
      <c r="J76" s="507"/>
      <c r="K76" s="507"/>
      <c r="L76" s="507"/>
      <c r="M76" s="507"/>
      <c r="N76" s="507"/>
      <c r="O76" s="503"/>
      <c r="P76" s="507"/>
      <c r="Q76" s="507"/>
      <c r="R76" s="507"/>
      <c r="S76" s="507"/>
      <c r="T76" s="507"/>
    </row>
    <row r="77" spans="1:20" ht="62">
      <c r="A77" s="530">
        <v>18</v>
      </c>
      <c r="B77" s="504" t="s">
        <v>811</v>
      </c>
      <c r="C77" s="531" t="s">
        <v>812</v>
      </c>
      <c r="D77" s="505"/>
      <c r="E77" s="505"/>
      <c r="F77" s="505"/>
      <c r="G77" s="505"/>
      <c r="H77" s="505"/>
      <c r="I77" s="506"/>
      <c r="J77" s="507"/>
      <c r="K77" s="507"/>
      <c r="L77" s="507"/>
      <c r="M77" s="507"/>
      <c r="N77" s="507"/>
      <c r="O77" s="503"/>
      <c r="P77" s="507"/>
      <c r="Q77" s="507"/>
      <c r="R77" s="507"/>
      <c r="S77" s="507"/>
      <c r="T77" s="507"/>
    </row>
    <row r="78" spans="1:20" ht="31">
      <c r="A78" s="530">
        <v>19</v>
      </c>
      <c r="B78" s="504" t="s">
        <v>1030</v>
      </c>
      <c r="C78" s="533" t="s">
        <v>1031</v>
      </c>
      <c r="D78" s="505"/>
      <c r="E78" s="505"/>
      <c r="F78" s="505"/>
      <c r="G78" s="505"/>
      <c r="H78" s="505"/>
      <c r="I78" s="506"/>
      <c r="J78" s="507"/>
      <c r="K78" s="507"/>
      <c r="L78" s="507"/>
      <c r="M78" s="507"/>
      <c r="N78" s="507"/>
      <c r="O78" s="503"/>
      <c r="P78" s="507"/>
      <c r="Q78" s="507"/>
      <c r="R78" s="507"/>
      <c r="S78" s="507"/>
      <c r="T78" s="507"/>
    </row>
    <row r="79" spans="1:20" ht="46.5">
      <c r="A79" s="535">
        <v>20</v>
      </c>
      <c r="B79" s="537" t="s">
        <v>813</v>
      </c>
      <c r="C79" s="533" t="s">
        <v>814</v>
      </c>
      <c r="D79" s="505"/>
      <c r="E79" s="505"/>
      <c r="F79" s="505"/>
      <c r="G79" s="505"/>
      <c r="H79" s="505"/>
      <c r="I79" s="506"/>
      <c r="J79" s="507"/>
      <c r="K79" s="507"/>
      <c r="L79" s="507"/>
      <c r="M79" s="507"/>
      <c r="N79" s="507"/>
      <c r="O79" s="503"/>
      <c r="P79" s="507"/>
      <c r="Q79" s="507"/>
      <c r="R79" s="507"/>
      <c r="S79" s="507"/>
      <c r="T79" s="507"/>
    </row>
    <row r="80" spans="1:20">
      <c r="B80" s="544"/>
      <c r="C80" s="545" t="s">
        <v>815</v>
      </c>
      <c r="D80" s="544"/>
      <c r="E80" s="544"/>
      <c r="F80" s="544"/>
      <c r="G80" s="544"/>
      <c r="H80" s="544"/>
      <c r="I80" s="544"/>
      <c r="J80" s="544"/>
      <c r="K80" s="544"/>
      <c r="L80" s="544"/>
      <c r="M80" s="544"/>
      <c r="N80" s="544"/>
      <c r="O80" s="544"/>
    </row>
    <row r="81" spans="1:15">
      <c r="B81" s="544"/>
      <c r="C81" s="546" t="s">
        <v>816</v>
      </c>
      <c r="D81" s="544"/>
      <c r="E81" s="544"/>
      <c r="F81" s="544"/>
      <c r="G81" s="544"/>
      <c r="H81" s="544"/>
      <c r="I81" s="544"/>
      <c r="J81" s="544"/>
      <c r="K81" s="544"/>
      <c r="L81" s="544"/>
      <c r="M81" s="544"/>
      <c r="N81" s="544"/>
    </row>
    <row r="82" spans="1:15">
      <c r="B82" s="544"/>
      <c r="C82" s="546" t="s">
        <v>817</v>
      </c>
      <c r="D82" s="544"/>
      <c r="E82" s="544"/>
      <c r="F82" s="544"/>
      <c r="G82" s="544"/>
      <c r="H82" s="544"/>
      <c r="I82" s="544"/>
      <c r="J82" s="544"/>
      <c r="K82" s="544"/>
      <c r="L82" s="544"/>
      <c r="M82" s="544"/>
      <c r="N82" s="544"/>
    </row>
    <row r="83" spans="1:15">
      <c r="B83" s="544"/>
      <c r="C83" s="546" t="s">
        <v>818</v>
      </c>
      <c r="D83" s="544"/>
      <c r="E83" s="544"/>
      <c r="F83" s="544"/>
      <c r="G83" s="544"/>
      <c r="H83" s="544"/>
      <c r="I83" s="544"/>
      <c r="J83" s="544"/>
      <c r="K83" s="544"/>
      <c r="L83" s="544"/>
      <c r="M83" s="544"/>
      <c r="N83" s="544"/>
    </row>
    <row r="84" spans="1:15">
      <c r="B84" s="547"/>
      <c r="C84" s="546" t="s">
        <v>819</v>
      </c>
      <c r="D84" s="544"/>
      <c r="E84" s="544"/>
      <c r="F84" s="544"/>
      <c r="G84" s="544"/>
      <c r="H84" s="544"/>
      <c r="I84" s="544"/>
      <c r="J84" s="544"/>
      <c r="K84" s="544"/>
      <c r="L84" s="544"/>
      <c r="M84" s="544"/>
      <c r="N84" s="544"/>
    </row>
    <row r="85" spans="1:15">
      <c r="B85" s="544"/>
      <c r="C85" s="546" t="s">
        <v>820</v>
      </c>
      <c r="D85" s="544"/>
      <c r="E85" s="544"/>
      <c r="F85" s="544"/>
      <c r="G85" s="544"/>
      <c r="H85" s="544"/>
      <c r="I85" s="544"/>
      <c r="J85" s="544"/>
      <c r="K85" s="544"/>
      <c r="L85" s="544"/>
      <c r="M85" s="544"/>
      <c r="N85" s="544"/>
    </row>
    <row r="86" spans="1:15">
      <c r="B86" s="544"/>
      <c r="C86" s="546" t="s">
        <v>821</v>
      </c>
      <c r="D86" s="544"/>
      <c r="E86" s="544"/>
      <c r="F86" s="544"/>
      <c r="G86" s="544"/>
      <c r="H86" s="544"/>
      <c r="I86" s="544"/>
      <c r="J86" s="544"/>
      <c r="K86" s="544"/>
      <c r="L86" s="544"/>
      <c r="M86" s="544"/>
      <c r="N86" s="544"/>
    </row>
    <row r="87" spans="1:15">
      <c r="A87" s="548"/>
      <c r="B87" s="549"/>
      <c r="C87" s="549"/>
      <c r="D87" s="549"/>
      <c r="E87" s="549"/>
      <c r="F87" s="549"/>
      <c r="G87" s="549"/>
      <c r="H87" s="549"/>
      <c r="I87" s="549"/>
      <c r="J87" s="549"/>
      <c r="K87" s="549"/>
      <c r="L87" s="549"/>
      <c r="M87" s="549"/>
      <c r="N87" s="549"/>
      <c r="O87" s="549"/>
    </row>
    <row r="88" spans="1:15">
      <c r="A88" s="548"/>
      <c r="B88" s="549"/>
      <c r="C88" s="549" t="s">
        <v>822</v>
      </c>
      <c r="D88" s="549"/>
      <c r="E88" s="549"/>
      <c r="F88" s="549"/>
      <c r="G88" s="549"/>
      <c r="H88" s="549"/>
      <c r="I88" s="549"/>
      <c r="J88" s="549"/>
      <c r="K88" s="549"/>
      <c r="L88" s="549"/>
      <c r="M88" s="549"/>
      <c r="N88" s="549"/>
      <c r="O88" s="549"/>
    </row>
    <row r="89" spans="1:15">
      <c r="A89" s="548"/>
      <c r="B89" s="549"/>
      <c r="C89" s="550" t="s">
        <v>823</v>
      </c>
      <c r="D89" s="549"/>
      <c r="E89" s="549"/>
      <c r="F89" s="549"/>
      <c r="G89" s="549"/>
      <c r="H89" s="549"/>
      <c r="I89" s="549"/>
      <c r="J89" s="549"/>
      <c r="K89" s="549"/>
      <c r="L89" s="549"/>
      <c r="M89" s="549"/>
      <c r="N89" s="549"/>
    </row>
    <row r="90" spans="1:15">
      <c r="A90" s="548"/>
      <c r="B90" s="549"/>
      <c r="C90" s="549"/>
      <c r="D90" s="550"/>
      <c r="E90" s="549"/>
      <c r="F90" s="549"/>
      <c r="G90" s="549"/>
      <c r="H90" s="549"/>
      <c r="I90" s="549"/>
      <c r="J90" s="549"/>
      <c r="K90" s="549"/>
      <c r="L90" s="549"/>
      <c r="M90" s="549"/>
      <c r="N90" s="549"/>
      <c r="O90" s="549"/>
    </row>
    <row r="91" spans="1:15">
      <c r="A91" s="548"/>
      <c r="B91" s="549"/>
      <c r="C91" s="549" t="s">
        <v>824</v>
      </c>
      <c r="D91" s="549"/>
      <c r="E91" s="549"/>
      <c r="F91" s="549"/>
      <c r="G91" s="549"/>
      <c r="H91" s="549"/>
      <c r="I91" s="549"/>
      <c r="J91" s="549"/>
      <c r="K91" s="549"/>
      <c r="L91" s="549"/>
      <c r="M91" s="549"/>
      <c r="N91" s="549"/>
      <c r="O91" s="549"/>
    </row>
    <row r="92" spans="1:15">
      <c r="A92" s="548"/>
      <c r="B92" s="549"/>
      <c r="C92" s="551" t="s">
        <v>825</v>
      </c>
      <c r="D92" s="549"/>
      <c r="E92" s="549"/>
      <c r="F92" s="549"/>
      <c r="G92" s="549"/>
      <c r="H92" s="549"/>
      <c r="I92" s="549"/>
      <c r="J92" s="549"/>
      <c r="K92" s="549"/>
      <c r="L92" s="549"/>
      <c r="M92" s="549"/>
      <c r="N92" s="549"/>
    </row>
    <row r="93" spans="1:15">
      <c r="A93" s="548"/>
      <c r="B93" s="549"/>
      <c r="C93" s="549"/>
      <c r="D93" s="549"/>
      <c r="E93" s="549"/>
      <c r="F93" s="549"/>
      <c r="G93" s="549"/>
      <c r="H93" s="549"/>
      <c r="I93" s="549"/>
      <c r="J93" s="549"/>
      <c r="K93" s="549"/>
      <c r="L93" s="549"/>
      <c r="M93" s="549"/>
      <c r="N93" s="549"/>
      <c r="O93" s="549"/>
    </row>
    <row r="94" spans="1:15">
      <c r="B94" s="544"/>
      <c r="C94" s="544" t="s">
        <v>826</v>
      </c>
      <c r="D94" s="544"/>
      <c r="E94" s="544"/>
      <c r="F94" s="544"/>
      <c r="G94" s="544"/>
      <c r="H94" s="544"/>
      <c r="I94" s="544"/>
      <c r="J94" s="544"/>
      <c r="K94" s="544"/>
      <c r="L94" s="544"/>
      <c r="M94" s="544"/>
      <c r="N94" s="544"/>
      <c r="O94" s="544"/>
    </row>
    <row r="95" spans="1:15">
      <c r="B95" s="544"/>
      <c r="C95" s="545" t="s">
        <v>827</v>
      </c>
      <c r="D95" s="544"/>
      <c r="E95" s="544"/>
      <c r="F95" s="544"/>
      <c r="G95" s="544"/>
      <c r="H95" s="544"/>
      <c r="I95" s="544"/>
      <c r="J95" s="544"/>
      <c r="K95" s="544"/>
      <c r="L95" s="544"/>
      <c r="M95" s="544"/>
      <c r="N95" s="544"/>
    </row>
    <row r="96" spans="1:15">
      <c r="B96" s="544"/>
      <c r="C96" s="544"/>
      <c r="D96" s="544"/>
      <c r="E96" s="544"/>
      <c r="F96" s="544"/>
      <c r="G96" s="544"/>
      <c r="H96" s="544"/>
      <c r="I96" s="544"/>
      <c r="J96" s="544"/>
      <c r="K96" s="544"/>
      <c r="L96" s="544"/>
      <c r="M96" s="544"/>
      <c r="N96" s="544"/>
      <c r="O96" s="544"/>
    </row>
    <row r="97" spans="2:15">
      <c r="B97" s="544"/>
      <c r="C97" s="544" t="s">
        <v>828</v>
      </c>
      <c r="D97" s="544"/>
      <c r="E97" s="544"/>
      <c r="F97" s="544"/>
      <c r="G97" s="544"/>
      <c r="H97" s="544" t="s">
        <v>829</v>
      </c>
      <c r="I97" s="544"/>
      <c r="J97" s="544"/>
      <c r="K97" s="544"/>
      <c r="L97" s="544"/>
      <c r="M97" s="544"/>
      <c r="N97" s="544"/>
      <c r="O97" s="544"/>
    </row>
    <row r="98" spans="2:15">
      <c r="B98" s="544"/>
      <c r="C98" s="545" t="s">
        <v>830</v>
      </c>
      <c r="D98" s="544"/>
      <c r="E98" s="544"/>
      <c r="F98" s="544"/>
      <c r="G98" s="544"/>
      <c r="H98" s="544"/>
      <c r="I98" s="544"/>
      <c r="J98" s="544"/>
      <c r="K98" s="544"/>
      <c r="L98" s="544"/>
      <c r="M98" s="544"/>
      <c r="N98" s="544"/>
    </row>
    <row r="99" spans="2:15">
      <c r="B99" s="544"/>
      <c r="C99" s="544"/>
      <c r="D99" s="544"/>
      <c r="E99" s="544"/>
      <c r="F99" s="544"/>
      <c r="G99" s="544"/>
      <c r="H99" s="544"/>
      <c r="I99" s="544"/>
      <c r="J99" s="544"/>
      <c r="K99" s="544"/>
      <c r="L99" s="544"/>
      <c r="M99" s="544"/>
      <c r="N99" s="544"/>
      <c r="O99" s="544"/>
    </row>
    <row r="100" spans="2:15">
      <c r="B100" s="544"/>
      <c r="C100" s="544" t="s">
        <v>831</v>
      </c>
      <c r="D100" s="544"/>
      <c r="E100" s="544"/>
      <c r="F100" s="544"/>
      <c r="G100" s="544"/>
      <c r="H100" s="544"/>
      <c r="I100" s="544"/>
      <c r="J100" s="544"/>
      <c r="K100" s="544"/>
      <c r="L100" s="544"/>
      <c r="M100" s="544"/>
      <c r="N100" s="544"/>
      <c r="O100" s="544"/>
    </row>
    <row r="101" spans="2:15">
      <c r="B101" s="544"/>
      <c r="C101" s="552" t="s">
        <v>711</v>
      </c>
      <c r="D101" s="544"/>
      <c r="E101" s="544"/>
      <c r="F101" s="544"/>
      <c r="G101" s="544"/>
      <c r="H101" s="544"/>
      <c r="I101" s="544"/>
      <c r="J101" s="544"/>
      <c r="K101" s="544"/>
      <c r="L101" s="544"/>
      <c r="M101" s="544"/>
      <c r="N101" s="544"/>
    </row>
    <row r="102" spans="2:15">
      <c r="B102" s="544"/>
      <c r="C102" s="544"/>
      <c r="D102" s="544"/>
      <c r="E102" s="544"/>
      <c r="F102" s="544"/>
      <c r="G102" s="544"/>
      <c r="H102" s="544"/>
      <c r="I102" s="544"/>
      <c r="J102" s="544"/>
      <c r="K102" s="544"/>
      <c r="L102" s="544"/>
      <c r="M102" s="544"/>
      <c r="N102" s="544"/>
      <c r="O102" s="544"/>
    </row>
    <row r="103" spans="2:15">
      <c r="B103" s="544"/>
      <c r="C103" s="544" t="s">
        <v>832</v>
      </c>
      <c r="D103" s="544"/>
      <c r="E103" s="544"/>
      <c r="F103" s="544"/>
      <c r="G103" s="544"/>
      <c r="H103" s="544"/>
      <c r="I103" s="544"/>
      <c r="J103" s="544"/>
      <c r="K103" s="544"/>
      <c r="L103" s="544"/>
      <c r="M103" s="544"/>
      <c r="N103" s="544"/>
      <c r="O103" s="544"/>
    </row>
    <row r="104" spans="2:15">
      <c r="B104" s="544"/>
      <c r="C104" s="552" t="s">
        <v>833</v>
      </c>
      <c r="D104" s="544"/>
      <c r="E104" s="544"/>
      <c r="F104" s="544"/>
      <c r="G104" s="544"/>
      <c r="H104" s="544"/>
      <c r="I104" s="544"/>
      <c r="J104" s="544"/>
      <c r="K104" s="544"/>
      <c r="L104" s="544"/>
      <c r="M104" s="544"/>
      <c r="N104" s="544"/>
    </row>
    <row r="105" spans="2:15">
      <c r="B105" s="544"/>
      <c r="C105" s="544"/>
      <c r="D105" s="544"/>
      <c r="E105" s="544"/>
      <c r="F105" s="544"/>
      <c r="G105" s="544"/>
      <c r="H105" s="544"/>
      <c r="I105" s="544"/>
      <c r="J105" s="544"/>
      <c r="K105" s="544"/>
      <c r="L105" s="544"/>
      <c r="M105" s="544"/>
      <c r="N105" s="544"/>
      <c r="O105" s="544"/>
    </row>
    <row r="106" spans="2:15">
      <c r="B106" s="544"/>
      <c r="C106" s="544" t="s">
        <v>834</v>
      </c>
      <c r="D106" s="544"/>
      <c r="E106" s="544"/>
      <c r="F106" s="544"/>
      <c r="G106" s="544"/>
      <c r="H106" s="544"/>
      <c r="I106" s="544"/>
      <c r="J106" s="544"/>
      <c r="K106" s="544"/>
      <c r="L106" s="544"/>
      <c r="M106" s="544"/>
      <c r="N106" s="544"/>
      <c r="O106" s="544"/>
    </row>
    <row r="107" spans="2:15">
      <c r="B107" s="544"/>
      <c r="C107" s="552" t="s">
        <v>835</v>
      </c>
      <c r="D107" s="544"/>
      <c r="E107" s="544"/>
      <c r="F107" s="544"/>
      <c r="G107" s="544"/>
      <c r="H107" s="544"/>
      <c r="I107" s="544"/>
      <c r="J107" s="544"/>
      <c r="K107" s="544"/>
      <c r="L107" s="544"/>
      <c r="M107" s="544"/>
      <c r="N107" s="544"/>
    </row>
    <row r="108" spans="2:15">
      <c r="B108" s="544"/>
      <c r="C108" s="544"/>
      <c r="D108" s="544"/>
      <c r="E108" s="544"/>
      <c r="F108" s="544"/>
      <c r="G108" s="544"/>
      <c r="H108" s="544"/>
      <c r="I108" s="544"/>
      <c r="J108" s="544"/>
      <c r="K108" s="544"/>
      <c r="L108" s="544"/>
      <c r="M108" s="544"/>
      <c r="N108" s="544"/>
      <c r="O108" s="544"/>
    </row>
    <row r="109" spans="2:15">
      <c r="B109" s="544"/>
      <c r="C109" s="544" t="s">
        <v>836</v>
      </c>
      <c r="D109" s="544"/>
      <c r="E109" s="544"/>
      <c r="F109" s="544"/>
      <c r="G109" s="544"/>
      <c r="H109" s="544"/>
      <c r="I109" s="544"/>
      <c r="J109" s="544"/>
      <c r="K109" s="544"/>
      <c r="L109" s="544"/>
      <c r="M109" s="544"/>
      <c r="N109" s="544"/>
      <c r="O109" s="544"/>
    </row>
    <row r="110" spans="2:15">
      <c r="B110" s="544"/>
      <c r="C110" s="552" t="s">
        <v>835</v>
      </c>
      <c r="D110" s="544"/>
      <c r="E110" s="544"/>
      <c r="F110" s="544"/>
      <c r="G110" s="544"/>
      <c r="H110" s="544"/>
      <c r="I110" s="544"/>
      <c r="J110" s="544"/>
      <c r="K110" s="544"/>
      <c r="L110" s="544"/>
      <c r="M110" s="544"/>
      <c r="N110" s="544"/>
    </row>
    <row r="111" spans="2:15">
      <c r="B111" s="544"/>
      <c r="C111" s="544"/>
      <c r="D111" s="553"/>
      <c r="E111" s="544"/>
      <c r="F111" s="544"/>
      <c r="G111" s="544"/>
      <c r="H111" s="544"/>
      <c r="I111" s="544"/>
      <c r="J111" s="544"/>
      <c r="K111" s="544"/>
      <c r="L111" s="544"/>
      <c r="M111" s="544"/>
      <c r="N111" s="544"/>
      <c r="O111" s="544"/>
    </row>
    <row r="112" spans="2:15">
      <c r="B112" s="544"/>
      <c r="C112" s="544" t="s">
        <v>837</v>
      </c>
      <c r="D112" s="553"/>
      <c r="E112" s="544"/>
      <c r="F112" s="544"/>
      <c r="G112" s="544"/>
      <c r="H112" s="544"/>
      <c r="I112" s="544"/>
      <c r="J112" s="544"/>
      <c r="K112" s="544"/>
      <c r="L112" s="544"/>
      <c r="M112" s="544"/>
      <c r="N112" s="544"/>
      <c r="O112" s="544"/>
    </row>
    <row r="113" spans="2:15">
      <c r="B113" s="544"/>
      <c r="C113" s="552" t="s">
        <v>838</v>
      </c>
      <c r="D113" s="544"/>
      <c r="E113" s="544"/>
      <c r="F113" s="544"/>
      <c r="G113" s="544"/>
      <c r="H113" s="544"/>
      <c r="I113" s="544"/>
      <c r="J113" s="544"/>
      <c r="K113" s="544"/>
      <c r="L113" s="544"/>
      <c r="M113" s="544"/>
      <c r="N113" s="544"/>
    </row>
    <row r="114" spans="2:15">
      <c r="B114" s="544"/>
      <c r="C114" s="544"/>
      <c r="D114" s="544"/>
      <c r="E114" s="544"/>
      <c r="F114" s="544"/>
      <c r="G114" s="544"/>
      <c r="H114" s="544"/>
      <c r="I114" s="544"/>
      <c r="J114" s="544"/>
      <c r="K114" s="544"/>
      <c r="L114" s="544"/>
      <c r="M114" s="544"/>
      <c r="N114" s="544"/>
      <c r="O114" s="544"/>
    </row>
    <row r="115" spans="2:15">
      <c r="B115" s="544"/>
      <c r="C115" s="544" t="s">
        <v>839</v>
      </c>
      <c r="D115" s="544"/>
      <c r="E115" s="544"/>
      <c r="F115" s="544"/>
      <c r="G115" s="544"/>
      <c r="H115" s="544"/>
      <c r="I115" s="544"/>
      <c r="J115" s="544"/>
      <c r="K115" s="544"/>
      <c r="L115" s="544"/>
      <c r="M115" s="544"/>
      <c r="N115" s="544"/>
      <c r="O115" s="544"/>
    </row>
    <row r="116" spans="2:15" ht="28.5">
      <c r="B116" s="544"/>
      <c r="C116" s="554" t="s">
        <v>840</v>
      </c>
      <c r="D116" s="544"/>
      <c r="E116" s="544"/>
      <c r="F116" s="544"/>
      <c r="G116" s="544"/>
      <c r="H116" s="544"/>
      <c r="I116" s="544"/>
      <c r="J116" s="544"/>
      <c r="K116" s="544"/>
      <c r="L116" s="544"/>
      <c r="M116" s="544"/>
      <c r="N116" s="544"/>
    </row>
    <row r="117" spans="2:15">
      <c r="B117" s="544"/>
      <c r="C117" s="544"/>
      <c r="D117" s="544"/>
      <c r="E117" s="544"/>
      <c r="F117" s="544"/>
      <c r="G117" s="544"/>
      <c r="H117" s="544"/>
      <c r="I117" s="544"/>
      <c r="J117" s="544"/>
      <c r="K117" s="544"/>
      <c r="L117" s="544"/>
      <c r="M117" s="544"/>
      <c r="N117" s="544"/>
      <c r="O117" s="544"/>
    </row>
    <row r="118" spans="2:15">
      <c r="B118" s="544"/>
      <c r="C118" s="544" t="s">
        <v>841</v>
      </c>
      <c r="D118" s="544"/>
      <c r="E118" s="544"/>
      <c r="F118" s="544"/>
      <c r="G118" s="544"/>
      <c r="H118" s="544"/>
      <c r="I118" s="544"/>
      <c r="J118" s="544"/>
      <c r="K118" s="544"/>
      <c r="L118" s="544"/>
      <c r="M118" s="544"/>
      <c r="N118" s="544"/>
      <c r="O118" s="544"/>
    </row>
    <row r="119" spans="2:15" ht="28.5">
      <c r="B119" s="544"/>
      <c r="C119" s="554" t="s">
        <v>840</v>
      </c>
      <c r="D119" s="544"/>
      <c r="E119" s="544"/>
      <c r="F119" s="544"/>
      <c r="G119" s="544"/>
      <c r="H119" s="544"/>
      <c r="I119" s="544"/>
      <c r="J119" s="544"/>
      <c r="K119" s="544"/>
      <c r="L119" s="544"/>
      <c r="M119" s="544"/>
      <c r="N119" s="544"/>
    </row>
    <row r="120" spans="2:15">
      <c r="B120" s="544"/>
      <c r="C120" s="544"/>
      <c r="D120" s="553"/>
      <c r="E120" s="544"/>
      <c r="F120" s="544"/>
      <c r="G120" s="544"/>
      <c r="H120" s="544"/>
      <c r="I120" s="544"/>
      <c r="J120" s="544"/>
      <c r="K120" s="544"/>
      <c r="L120" s="544"/>
      <c r="M120" s="544"/>
      <c r="N120" s="544"/>
      <c r="O120" s="544"/>
    </row>
    <row r="121" spans="2:15">
      <c r="B121" s="544"/>
      <c r="C121" s="544" t="s">
        <v>842</v>
      </c>
      <c r="D121" s="544"/>
      <c r="E121" s="544"/>
      <c r="F121" s="544"/>
      <c r="G121" s="544"/>
      <c r="H121" s="544"/>
      <c r="I121" s="544"/>
      <c r="J121" s="544"/>
      <c r="K121" s="544"/>
      <c r="L121" s="544"/>
      <c r="M121" s="544"/>
      <c r="N121" s="544"/>
      <c r="O121" s="544"/>
    </row>
    <row r="122" spans="2:15">
      <c r="B122" s="544"/>
      <c r="C122" s="545" t="s">
        <v>843</v>
      </c>
      <c r="D122" s="544"/>
      <c r="E122" s="544"/>
      <c r="F122" s="544"/>
      <c r="G122" s="544"/>
      <c r="H122" s="544"/>
      <c r="I122" s="544"/>
      <c r="J122" s="544"/>
      <c r="K122" s="544"/>
      <c r="L122" s="544"/>
      <c r="M122" s="544"/>
      <c r="N122" s="544"/>
    </row>
    <row r="123" spans="2:15">
      <c r="B123" s="544"/>
      <c r="C123" s="544"/>
      <c r="D123" s="545"/>
      <c r="E123" s="544"/>
      <c r="F123" s="544"/>
      <c r="G123" s="544"/>
      <c r="H123" s="544"/>
      <c r="I123" s="544"/>
      <c r="J123" s="544"/>
      <c r="K123" s="544"/>
      <c r="L123" s="544"/>
      <c r="M123" s="544"/>
      <c r="N123" s="544"/>
      <c r="O123" s="544"/>
    </row>
    <row r="124" spans="2:15">
      <c r="B124" s="544"/>
      <c r="C124" s="544" t="s">
        <v>844</v>
      </c>
      <c r="D124" s="555"/>
      <c r="E124" s="544"/>
      <c r="F124" s="544"/>
      <c r="G124" s="544"/>
      <c r="H124" s="544"/>
      <c r="I124" s="544"/>
      <c r="J124" s="544"/>
      <c r="K124" s="544"/>
      <c r="L124" s="544"/>
      <c r="M124" s="544"/>
      <c r="N124" s="544"/>
      <c r="O124" s="544"/>
    </row>
    <row r="125" spans="2:15">
      <c r="B125" s="544"/>
      <c r="C125" s="545" t="s">
        <v>845</v>
      </c>
      <c r="D125" s="544"/>
      <c r="E125" s="544"/>
      <c r="F125" s="544"/>
      <c r="G125" s="544"/>
      <c r="H125" s="544"/>
      <c r="I125" s="544"/>
      <c r="J125" s="544"/>
      <c r="K125" s="544"/>
      <c r="L125" s="544"/>
      <c r="M125" s="544"/>
      <c r="N125" s="544"/>
    </row>
    <row r="126" spans="2:15">
      <c r="B126" s="544"/>
      <c r="C126" s="544"/>
      <c r="D126" s="545"/>
      <c r="E126" s="544"/>
      <c r="F126" s="544"/>
      <c r="G126" s="544"/>
      <c r="H126" s="544"/>
      <c r="I126" s="544"/>
      <c r="J126" s="544"/>
      <c r="K126" s="544"/>
      <c r="L126" s="544"/>
      <c r="M126" s="544"/>
      <c r="N126" s="544"/>
      <c r="O126" s="544"/>
    </row>
    <row r="127" spans="2:15">
      <c r="B127" s="544"/>
      <c r="C127" s="544" t="s">
        <v>846</v>
      </c>
      <c r="D127" s="545"/>
      <c r="E127" s="544"/>
      <c r="F127" s="544"/>
      <c r="G127" s="544"/>
      <c r="H127" s="544"/>
      <c r="I127" s="544"/>
      <c r="J127" s="544"/>
      <c r="K127" s="544"/>
      <c r="L127" s="544"/>
      <c r="M127" s="544"/>
      <c r="N127" s="544"/>
      <c r="O127" s="544"/>
    </row>
    <row r="128" spans="2:15">
      <c r="B128" s="544"/>
      <c r="C128" s="545" t="s">
        <v>847</v>
      </c>
      <c r="D128" s="544"/>
      <c r="E128" s="544"/>
      <c r="F128" s="544"/>
      <c r="G128" s="544"/>
      <c r="H128" s="544"/>
      <c r="I128" s="544"/>
      <c r="J128" s="544"/>
      <c r="K128" s="544"/>
      <c r="L128" s="544"/>
      <c r="M128" s="544"/>
      <c r="N128" s="544"/>
    </row>
    <row r="129" spans="2:15">
      <c r="B129" s="544"/>
      <c r="C129" s="544"/>
      <c r="D129" s="544"/>
      <c r="E129" s="544"/>
      <c r="F129" s="544"/>
      <c r="G129" s="544"/>
      <c r="H129" s="544"/>
      <c r="I129" s="544"/>
      <c r="J129" s="544"/>
      <c r="K129" s="544"/>
      <c r="L129" s="544"/>
      <c r="M129" s="544"/>
      <c r="N129" s="544"/>
      <c r="O129" s="544"/>
    </row>
    <row r="130" spans="2:15">
      <c r="B130" s="544"/>
      <c r="C130" s="544" t="s">
        <v>848</v>
      </c>
      <c r="D130" s="544"/>
      <c r="E130" s="544"/>
      <c r="F130" s="544"/>
      <c r="G130" s="544"/>
      <c r="H130" s="544"/>
      <c r="I130" s="544"/>
      <c r="J130" s="544"/>
      <c r="K130" s="544"/>
      <c r="L130" s="544"/>
      <c r="M130" s="544"/>
      <c r="N130" s="544"/>
      <c r="O130" s="544"/>
    </row>
    <row r="131" spans="2:15">
      <c r="B131" s="544"/>
      <c r="C131" s="545" t="s">
        <v>849</v>
      </c>
      <c r="D131" s="544"/>
      <c r="E131" s="544"/>
      <c r="F131" s="544"/>
      <c r="G131" s="544"/>
      <c r="H131" s="544"/>
      <c r="I131" s="544"/>
      <c r="J131" s="544"/>
      <c r="K131" s="544"/>
      <c r="L131" s="544"/>
      <c r="M131" s="544"/>
      <c r="N131" s="544"/>
    </row>
    <row r="132" spans="2:15">
      <c r="B132" s="544"/>
      <c r="C132" s="544"/>
      <c r="D132" s="553"/>
      <c r="E132" s="544"/>
      <c r="F132" s="544"/>
      <c r="G132" s="544"/>
      <c r="H132" s="544"/>
      <c r="I132" s="544"/>
      <c r="J132" s="544"/>
      <c r="K132" s="544"/>
      <c r="L132" s="544"/>
      <c r="M132" s="544"/>
      <c r="N132" s="544"/>
      <c r="O132" s="544"/>
    </row>
    <row r="133" spans="2:15">
      <c r="B133" s="544"/>
      <c r="C133" s="544" t="s">
        <v>850</v>
      </c>
      <c r="D133" s="553"/>
      <c r="E133" s="544"/>
      <c r="F133" s="544"/>
      <c r="G133" s="544"/>
      <c r="H133" s="544"/>
      <c r="I133" s="544"/>
      <c r="J133" s="544"/>
      <c r="K133" s="544"/>
      <c r="L133" s="544"/>
      <c r="M133" s="544"/>
      <c r="N133" s="544"/>
      <c r="O133" s="544"/>
    </row>
    <row r="134" spans="2:15">
      <c r="B134" s="544"/>
      <c r="C134" s="552" t="s">
        <v>851</v>
      </c>
      <c r="D134" s="544"/>
      <c r="E134" s="544"/>
      <c r="F134" s="544"/>
      <c r="G134" s="544"/>
      <c r="H134" s="544"/>
      <c r="I134" s="544"/>
      <c r="J134" s="544"/>
      <c r="K134" s="544"/>
      <c r="L134" s="544"/>
      <c r="M134" s="544"/>
      <c r="N134" s="544"/>
    </row>
    <row r="135" spans="2:15">
      <c r="B135" s="544"/>
      <c r="C135" s="544"/>
      <c r="D135" s="553"/>
      <c r="E135" s="544"/>
      <c r="F135" s="544"/>
      <c r="G135" s="544"/>
      <c r="H135" s="544"/>
      <c r="I135" s="544"/>
      <c r="J135" s="544"/>
      <c r="K135" s="544"/>
      <c r="L135" s="544"/>
      <c r="M135" s="544"/>
      <c r="N135" s="544"/>
      <c r="O135" s="544"/>
    </row>
    <row r="136" spans="2:15">
      <c r="B136" s="544"/>
      <c r="C136" s="544" t="s">
        <v>850</v>
      </c>
      <c r="D136" s="553"/>
      <c r="E136" s="544"/>
      <c r="F136" s="544"/>
      <c r="G136" s="544"/>
      <c r="H136" s="544"/>
      <c r="I136" s="544"/>
      <c r="J136" s="544"/>
      <c r="K136" s="544"/>
      <c r="L136" s="544"/>
      <c r="M136" s="544"/>
      <c r="N136" s="544"/>
      <c r="O136" s="544"/>
    </row>
    <row r="137" spans="2:15">
      <c r="B137" s="544"/>
      <c r="C137" s="552" t="s">
        <v>852</v>
      </c>
      <c r="D137" s="544"/>
      <c r="E137" s="544"/>
      <c r="F137" s="544"/>
      <c r="G137" s="544"/>
      <c r="H137" s="544"/>
      <c r="I137" s="544"/>
      <c r="J137" s="544"/>
      <c r="K137" s="544"/>
      <c r="L137" s="544"/>
      <c r="M137" s="544"/>
      <c r="N137" s="544"/>
    </row>
    <row r="138" spans="2:15">
      <c r="B138" s="544"/>
      <c r="C138" s="544"/>
      <c r="D138" s="553"/>
      <c r="E138" s="544"/>
      <c r="F138" s="544"/>
      <c r="G138" s="544"/>
      <c r="H138" s="544"/>
      <c r="I138" s="544"/>
      <c r="J138" s="544"/>
      <c r="K138" s="544"/>
      <c r="L138" s="544"/>
      <c r="M138" s="544"/>
      <c r="N138" s="544"/>
      <c r="O138" s="544"/>
    </row>
    <row r="139" spans="2:15">
      <c r="B139" s="544"/>
      <c r="C139" s="544" t="s">
        <v>853</v>
      </c>
      <c r="D139" s="553"/>
      <c r="E139" s="544"/>
      <c r="F139" s="544"/>
      <c r="G139" s="544"/>
      <c r="H139" s="544"/>
      <c r="I139" s="544"/>
      <c r="J139" s="544"/>
      <c r="K139" s="544"/>
      <c r="L139" s="544"/>
      <c r="M139" s="544"/>
      <c r="N139" s="544"/>
      <c r="O139" s="544"/>
    </row>
    <row r="140" spans="2:15">
      <c r="B140" s="544"/>
      <c r="C140" s="552" t="s">
        <v>854</v>
      </c>
      <c r="D140" s="544"/>
      <c r="E140" s="544"/>
      <c r="F140" s="544"/>
      <c r="G140" s="544"/>
      <c r="H140" s="544"/>
      <c r="I140" s="544"/>
      <c r="J140" s="544"/>
      <c r="K140" s="544"/>
      <c r="L140" s="544"/>
      <c r="M140" s="544"/>
      <c r="N140" s="544"/>
    </row>
    <row r="141" spans="2:15">
      <c r="B141" s="544"/>
      <c r="C141" s="544"/>
      <c r="D141" s="553"/>
      <c r="E141" s="544"/>
      <c r="F141" s="544"/>
      <c r="G141" s="544"/>
      <c r="H141" s="544"/>
      <c r="I141" s="544"/>
      <c r="J141" s="544"/>
      <c r="K141" s="544"/>
      <c r="L141" s="544"/>
      <c r="M141" s="544"/>
      <c r="N141" s="544"/>
      <c r="O141" s="544"/>
    </row>
    <row r="142" spans="2:15">
      <c r="B142" s="544"/>
      <c r="C142" s="544" t="s">
        <v>855</v>
      </c>
      <c r="D142" s="553"/>
      <c r="E142" s="544"/>
      <c r="F142" s="544"/>
      <c r="G142" s="544"/>
      <c r="H142" s="544"/>
      <c r="I142" s="544"/>
      <c r="J142" s="544"/>
      <c r="K142" s="544"/>
      <c r="L142" s="544"/>
      <c r="M142" s="544"/>
      <c r="N142" s="544"/>
      <c r="O142" s="544"/>
    </row>
    <row r="143" spans="2:15">
      <c r="B143" s="544"/>
      <c r="C143" s="545" t="s">
        <v>856</v>
      </c>
      <c r="D143" s="544"/>
      <c r="E143" s="544"/>
      <c r="F143" s="544"/>
      <c r="G143" s="544"/>
      <c r="H143" s="544"/>
      <c r="I143" s="544"/>
      <c r="J143" s="544"/>
      <c r="K143" s="544"/>
      <c r="L143" s="544"/>
      <c r="M143" s="544"/>
      <c r="N143" s="544"/>
    </row>
    <row r="144" spans="2:15">
      <c r="B144" s="544"/>
      <c r="C144" s="544"/>
      <c r="D144" s="553"/>
      <c r="E144" s="544"/>
      <c r="F144" s="544"/>
      <c r="G144" s="544"/>
      <c r="H144" s="544"/>
      <c r="I144" s="544"/>
      <c r="J144" s="544"/>
      <c r="K144" s="544"/>
      <c r="L144" s="544"/>
      <c r="M144" s="544"/>
      <c r="N144" s="544"/>
      <c r="O144" s="544"/>
    </row>
    <row r="145" spans="2:15">
      <c r="B145" s="544"/>
      <c r="C145" s="544" t="s">
        <v>857</v>
      </c>
      <c r="D145" s="553"/>
      <c r="E145" s="544"/>
      <c r="F145" s="544"/>
      <c r="G145" s="544"/>
      <c r="H145" s="556"/>
      <c r="I145" s="544"/>
      <c r="J145" s="544"/>
      <c r="K145" s="544"/>
      <c r="L145" s="544"/>
      <c r="M145" s="544"/>
      <c r="N145" s="544"/>
      <c r="O145" s="544"/>
    </row>
    <row r="146" spans="2:15">
      <c r="B146" s="544"/>
      <c r="C146" s="552" t="s">
        <v>858</v>
      </c>
      <c r="D146" s="544"/>
      <c r="E146" s="544"/>
      <c r="F146" s="544"/>
      <c r="G146" s="544"/>
      <c r="H146" s="544"/>
      <c r="I146" s="544"/>
      <c r="J146" s="544"/>
      <c r="K146" s="544"/>
      <c r="L146" s="544"/>
      <c r="M146" s="544"/>
      <c r="N146" s="544"/>
    </row>
    <row r="147" spans="2:15">
      <c r="B147" s="544"/>
      <c r="C147" s="544"/>
      <c r="D147" s="553"/>
      <c r="E147" s="544"/>
      <c r="F147" s="544"/>
      <c r="G147" s="544"/>
      <c r="H147" s="544"/>
      <c r="I147" s="544"/>
      <c r="J147" s="544"/>
      <c r="K147" s="544"/>
      <c r="L147" s="544"/>
      <c r="M147" s="544"/>
      <c r="N147" s="544"/>
      <c r="O147" s="544"/>
    </row>
    <row r="148" spans="2:15">
      <c r="B148" s="544"/>
      <c r="C148" s="544" t="s">
        <v>859</v>
      </c>
      <c r="D148" s="553"/>
      <c r="E148" s="544"/>
      <c r="F148" s="544"/>
      <c r="G148" s="544"/>
      <c r="H148" s="544"/>
      <c r="I148" s="544"/>
      <c r="J148" s="544"/>
      <c r="K148" s="544"/>
      <c r="L148" s="544"/>
      <c r="M148" s="544"/>
      <c r="N148" s="544"/>
      <c r="O148" s="544"/>
    </row>
    <row r="149" spans="2:15">
      <c r="B149" s="544"/>
      <c r="C149" s="545" t="s">
        <v>860</v>
      </c>
      <c r="D149" s="544"/>
      <c r="E149" s="544"/>
      <c r="F149" s="544"/>
      <c r="G149" s="544"/>
      <c r="H149" s="544"/>
      <c r="I149" s="544"/>
      <c r="J149" s="544"/>
      <c r="K149" s="544"/>
      <c r="L149" s="544"/>
      <c r="M149" s="544"/>
      <c r="N149" s="544"/>
    </row>
    <row r="150" spans="2:15">
      <c r="B150" s="544"/>
      <c r="C150" s="544"/>
      <c r="D150" s="553"/>
      <c r="E150" s="544"/>
      <c r="F150" s="544"/>
      <c r="G150" s="544"/>
      <c r="H150" s="544"/>
      <c r="I150" s="544"/>
      <c r="J150" s="544"/>
      <c r="K150" s="544"/>
      <c r="L150" s="544"/>
      <c r="M150" s="544"/>
      <c r="N150" s="544"/>
      <c r="O150" s="544"/>
    </row>
    <row r="151" spans="2:15">
      <c r="B151" s="544"/>
      <c r="C151" s="544" t="s">
        <v>861</v>
      </c>
      <c r="D151" s="553"/>
      <c r="E151" s="544"/>
      <c r="F151" s="544"/>
      <c r="G151" s="544"/>
      <c r="H151" s="544"/>
      <c r="I151" s="544"/>
      <c r="J151" s="544"/>
      <c r="K151" s="544"/>
      <c r="L151" s="544"/>
      <c r="M151" s="544"/>
      <c r="N151" s="544"/>
      <c r="O151" s="544"/>
    </row>
    <row r="152" spans="2:15">
      <c r="B152" s="544"/>
      <c r="C152" s="552" t="s">
        <v>862</v>
      </c>
      <c r="D152" s="544"/>
      <c r="E152" s="544"/>
      <c r="F152" s="544"/>
      <c r="G152" s="544"/>
      <c r="H152" s="544"/>
      <c r="I152" s="544"/>
      <c r="J152" s="544"/>
      <c r="K152" s="544"/>
      <c r="L152" s="544"/>
      <c r="M152" s="544"/>
      <c r="N152" s="544"/>
    </row>
    <row r="153" spans="2:15">
      <c r="B153" s="544"/>
      <c r="C153" s="544"/>
      <c r="D153" s="553"/>
      <c r="E153" s="544"/>
      <c r="F153" s="544"/>
      <c r="G153" s="544"/>
      <c r="H153" s="544"/>
      <c r="I153" s="544"/>
      <c r="J153" s="544"/>
      <c r="K153" s="544"/>
      <c r="L153" s="544"/>
      <c r="M153" s="544"/>
      <c r="N153" s="544"/>
      <c r="O153" s="544"/>
    </row>
    <row r="154" spans="2:15">
      <c r="B154" s="544"/>
      <c r="C154" s="544" t="s">
        <v>863</v>
      </c>
      <c r="D154" s="553"/>
      <c r="E154" s="544"/>
      <c r="F154" s="544"/>
      <c r="G154" s="544"/>
      <c r="H154" s="544"/>
      <c r="I154" s="544"/>
      <c r="J154" s="544"/>
      <c r="K154" s="544"/>
      <c r="L154" s="544"/>
      <c r="M154" s="544"/>
      <c r="N154" s="544"/>
      <c r="O154" s="544"/>
    </row>
    <row r="155" spans="2:15">
      <c r="B155" s="544"/>
      <c r="C155" s="545" t="s">
        <v>864</v>
      </c>
      <c r="D155" s="544"/>
      <c r="E155" s="544"/>
      <c r="F155" s="544"/>
      <c r="G155" s="544"/>
      <c r="H155" s="544"/>
      <c r="I155" s="544"/>
      <c r="J155" s="544"/>
      <c r="K155" s="544"/>
      <c r="L155" s="544"/>
      <c r="M155" s="544"/>
      <c r="N155" s="544"/>
    </row>
    <row r="156" spans="2:15">
      <c r="B156" s="544"/>
      <c r="C156" s="544"/>
      <c r="D156" s="544"/>
      <c r="E156" s="544"/>
      <c r="F156" s="544"/>
      <c r="G156" s="544"/>
      <c r="H156" s="544"/>
      <c r="I156" s="544"/>
      <c r="J156" s="544"/>
      <c r="K156" s="544"/>
      <c r="L156" s="544"/>
      <c r="M156" s="544"/>
      <c r="N156" s="544"/>
      <c r="O156" s="544"/>
    </row>
    <row r="157" spans="2:15">
      <c r="B157" s="544"/>
      <c r="C157" s="557" t="s">
        <v>865</v>
      </c>
      <c r="D157" s="544"/>
      <c r="E157" s="558"/>
      <c r="F157" s="544"/>
      <c r="G157" s="544"/>
    </row>
    <row r="158" spans="2:15">
      <c r="B158" s="544"/>
      <c r="C158" s="559" t="s">
        <v>866</v>
      </c>
      <c r="E158" s="544"/>
      <c r="F158" s="544"/>
    </row>
    <row r="159" spans="2:15">
      <c r="B159" s="544"/>
      <c r="C159" s="560" t="s">
        <v>155</v>
      </c>
      <c r="D159" s="544"/>
      <c r="E159" s="545"/>
      <c r="F159" s="544"/>
      <c r="G159" s="544"/>
    </row>
    <row r="160" spans="2:15">
      <c r="B160" s="544"/>
      <c r="C160" s="559" t="s">
        <v>867</v>
      </c>
      <c r="E160" s="545"/>
      <c r="F160" s="545"/>
    </row>
    <row r="161" spans="2:7">
      <c r="B161" s="544"/>
      <c r="C161" s="560" t="s">
        <v>156</v>
      </c>
      <c r="D161" s="544"/>
      <c r="E161" s="545"/>
      <c r="F161" s="544"/>
      <c r="G161" s="544"/>
    </row>
    <row r="162" spans="2:7">
      <c r="B162" s="544"/>
      <c r="C162" s="559" t="s">
        <v>868</v>
      </c>
      <c r="E162" s="544"/>
      <c r="F162" s="544"/>
    </row>
    <row r="163" spans="2:7">
      <c r="B163" s="544"/>
      <c r="C163" s="561" t="s">
        <v>157</v>
      </c>
      <c r="D163" s="544"/>
      <c r="E163" s="545"/>
      <c r="F163" s="544"/>
      <c r="G163" s="544"/>
    </row>
    <row r="164" spans="2:7">
      <c r="B164" s="544"/>
      <c r="C164" s="559" t="s">
        <v>869</v>
      </c>
      <c r="E164" s="544"/>
      <c r="F164" s="544"/>
    </row>
    <row r="165" spans="2:7">
      <c r="B165" s="544"/>
      <c r="C165" s="560" t="s">
        <v>317</v>
      </c>
      <c r="D165" s="544"/>
      <c r="E165" s="545"/>
      <c r="F165" s="544"/>
      <c r="G165" s="544"/>
    </row>
    <row r="166" spans="2:7">
      <c r="B166" s="544"/>
      <c r="C166" s="559" t="s">
        <v>870</v>
      </c>
      <c r="E166" s="544"/>
      <c r="F166" s="544"/>
    </row>
    <row r="167" spans="2:7">
      <c r="B167" s="544"/>
      <c r="C167" s="561" t="s">
        <v>158</v>
      </c>
      <c r="D167" s="544"/>
      <c r="E167" s="545"/>
      <c r="F167" s="544"/>
      <c r="G167" s="544"/>
    </row>
    <row r="168" spans="2:7">
      <c r="B168" s="544"/>
      <c r="C168" s="559" t="s">
        <v>871</v>
      </c>
      <c r="E168" s="544"/>
      <c r="F168" s="544"/>
    </row>
    <row r="169" spans="2:7">
      <c r="B169" s="544"/>
      <c r="C169" s="561" t="s">
        <v>318</v>
      </c>
      <c r="D169" s="544"/>
      <c r="E169" s="545"/>
      <c r="F169" s="544"/>
      <c r="G169" s="544"/>
    </row>
    <row r="170" spans="2:7">
      <c r="B170" s="544"/>
      <c r="C170" s="559" t="s">
        <v>872</v>
      </c>
      <c r="E170" s="544"/>
      <c r="F170" s="544"/>
    </row>
    <row r="171" spans="2:7">
      <c r="B171" s="544"/>
      <c r="C171" s="561" t="s">
        <v>873</v>
      </c>
      <c r="D171" s="544"/>
      <c r="E171" s="545"/>
      <c r="F171" s="544"/>
      <c r="G171" s="544"/>
    </row>
    <row r="172" spans="2:7">
      <c r="B172" s="544"/>
      <c r="C172" s="559" t="s">
        <v>874</v>
      </c>
      <c r="E172" s="544"/>
      <c r="F172" s="544"/>
    </row>
    <row r="173" spans="2:7">
      <c r="B173" s="544"/>
      <c r="C173" s="561" t="s">
        <v>875</v>
      </c>
      <c r="D173" s="544"/>
      <c r="E173" s="545"/>
      <c r="F173" s="544"/>
      <c r="G173" s="544"/>
    </row>
    <row r="174" spans="2:7">
      <c r="B174" s="544"/>
      <c r="C174" s="559" t="s">
        <v>876</v>
      </c>
      <c r="E174" s="544"/>
      <c r="F174" s="544"/>
    </row>
    <row r="175" spans="2:7">
      <c r="B175" s="544"/>
      <c r="C175" s="561" t="s">
        <v>877</v>
      </c>
      <c r="D175" s="544"/>
      <c r="E175" s="544"/>
      <c r="F175" s="544"/>
      <c r="G175" s="544"/>
    </row>
    <row r="176" spans="2:7">
      <c r="B176" s="562"/>
      <c r="C176" s="559" t="s">
        <v>878</v>
      </c>
      <c r="E176" s="544"/>
      <c r="F176" s="544"/>
    </row>
    <row r="177" spans="2:7">
      <c r="B177" s="544"/>
      <c r="C177" s="560" t="s">
        <v>879</v>
      </c>
      <c r="D177" s="544"/>
      <c r="E177" s="544"/>
      <c r="F177" s="544"/>
      <c r="G177" s="544"/>
    </row>
    <row r="178" spans="2:7">
      <c r="B178" s="544"/>
      <c r="C178" s="559" t="s">
        <v>880</v>
      </c>
      <c r="E178" s="544"/>
      <c r="F178" s="544"/>
    </row>
    <row r="179" spans="2:7">
      <c r="B179" s="544"/>
      <c r="C179" s="560" t="s">
        <v>304</v>
      </c>
      <c r="D179" s="544"/>
      <c r="E179" s="544"/>
      <c r="F179" s="544"/>
    </row>
    <row r="180" spans="2:7">
      <c r="B180" s="544"/>
      <c r="C180" s="559" t="s">
        <v>881</v>
      </c>
      <c r="E180" s="544"/>
      <c r="F180" s="544"/>
    </row>
    <row r="181" spans="2:7">
      <c r="B181" s="544"/>
      <c r="C181" s="560" t="s">
        <v>316</v>
      </c>
      <c r="D181" s="544"/>
      <c r="E181" s="544"/>
      <c r="F181" s="544"/>
      <c r="G181" s="544"/>
    </row>
  </sheetData>
  <mergeCells count="18">
    <mergeCell ref="A56:A61"/>
    <mergeCell ref="B56:B61"/>
    <mergeCell ref="A62:A69"/>
    <mergeCell ref="B62:B69"/>
    <mergeCell ref="A70:A72"/>
    <mergeCell ref="B70:B72"/>
    <mergeCell ref="A30:A35"/>
    <mergeCell ref="B30:B35"/>
    <mergeCell ref="A36:A41"/>
    <mergeCell ref="B36:B41"/>
    <mergeCell ref="A42:A55"/>
    <mergeCell ref="B42:B55"/>
    <mergeCell ref="A2:A13"/>
    <mergeCell ref="B2:B13"/>
    <mergeCell ref="A15:A19"/>
    <mergeCell ref="B15:B19"/>
    <mergeCell ref="A20:A25"/>
    <mergeCell ref="B20:B25"/>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8"/>
  <dimension ref="A1:CH90"/>
  <sheetViews>
    <sheetView topLeftCell="BI40" zoomScale="85" zoomScaleNormal="85" workbookViewId="0">
      <selection activeCell="CM83" sqref="CM83"/>
    </sheetView>
  </sheetViews>
  <sheetFormatPr defaultRowHeight="12.5"/>
  <cols>
    <col min="15" max="15" width="29" style="656" bestFit="1" customWidth="1"/>
    <col min="16" max="16" width="29.6328125" style="458" bestFit="1" customWidth="1"/>
    <col min="17" max="17" width="9.08984375" style="221"/>
    <col min="18" max="18" width="9.08984375" style="656"/>
    <col min="19" max="20" width="9.08984375" style="458"/>
    <col min="21" max="21" width="9.08984375" style="657"/>
    <col min="22" max="25" width="9.08984375" style="458"/>
    <col min="26" max="26" width="9.08984375" style="659"/>
  </cols>
  <sheetData>
    <row r="1" spans="1:86" ht="13">
      <c r="A1" s="453" t="s">
        <v>1008</v>
      </c>
      <c r="F1" s="49" t="s">
        <v>1009</v>
      </c>
      <c r="O1" s="856" t="s">
        <v>232</v>
      </c>
      <c r="P1" s="857"/>
      <c r="Q1" s="858"/>
      <c r="R1" s="856" t="s">
        <v>234</v>
      </c>
      <c r="S1" s="857"/>
      <c r="T1" s="858"/>
      <c r="U1" s="847" t="s">
        <v>235</v>
      </c>
      <c r="V1" s="848"/>
      <c r="W1" s="848"/>
      <c r="X1" s="848"/>
      <c r="Y1" s="848"/>
      <c r="Z1" s="855"/>
      <c r="AA1" s="847" t="s">
        <v>236</v>
      </c>
      <c r="AB1" s="848"/>
      <c r="AC1" s="848"/>
      <c r="AD1" s="848"/>
      <c r="AE1" s="848"/>
      <c r="AF1" s="849"/>
      <c r="AG1" s="847" t="s">
        <v>237</v>
      </c>
      <c r="AH1" s="848"/>
      <c r="AI1" s="848"/>
      <c r="AJ1" s="848"/>
      <c r="AK1" s="848"/>
      <c r="AL1" s="849"/>
      <c r="AM1" s="847" t="s">
        <v>238</v>
      </c>
      <c r="AN1" s="848"/>
      <c r="AO1" s="848"/>
      <c r="AP1" s="848"/>
      <c r="AQ1" s="848"/>
      <c r="AR1" s="849"/>
      <c r="AS1" s="850" t="s">
        <v>305</v>
      </c>
      <c r="AT1" s="851"/>
      <c r="AU1" s="851"/>
      <c r="AV1" s="851"/>
      <c r="AW1" s="851"/>
      <c r="AX1" s="851"/>
      <c r="AY1" s="851"/>
      <c r="AZ1" s="851"/>
      <c r="BA1" s="851"/>
      <c r="BB1" s="859" t="s">
        <v>239</v>
      </c>
      <c r="BC1" s="859"/>
      <c r="BD1" s="859"/>
      <c r="BE1" s="859"/>
      <c r="BF1" s="859"/>
      <c r="BG1" s="859"/>
      <c r="BH1" s="859"/>
      <c r="BI1" s="859"/>
      <c r="BJ1" s="859"/>
      <c r="BK1" s="859"/>
      <c r="BL1" s="859"/>
      <c r="BM1" s="859"/>
      <c r="BN1" s="850" t="s">
        <v>315</v>
      </c>
      <c r="BO1" s="851"/>
      <c r="BP1" s="851"/>
      <c r="BQ1" s="851"/>
      <c r="BR1" s="851"/>
      <c r="BS1" s="851"/>
      <c r="BT1" s="851"/>
      <c r="BU1" s="851"/>
      <c r="BV1" s="851"/>
      <c r="BW1" s="847" t="s">
        <v>243</v>
      </c>
      <c r="BX1" s="848"/>
      <c r="BY1" s="848"/>
      <c r="BZ1" s="848"/>
      <c r="CA1" s="848"/>
      <c r="CB1" s="849"/>
      <c r="CC1" s="847" t="s">
        <v>1025</v>
      </c>
      <c r="CD1" s="848"/>
      <c r="CE1" s="848"/>
      <c r="CF1" s="848"/>
      <c r="CG1" s="848"/>
      <c r="CH1" s="849"/>
    </row>
    <row r="2" spans="1:86" ht="13">
      <c r="A2" s="652" t="s">
        <v>232</v>
      </c>
      <c r="B2" s="652" t="s">
        <v>234</v>
      </c>
      <c r="C2" s="652" t="s">
        <v>235</v>
      </c>
      <c r="D2" s="652" t="s">
        <v>236</v>
      </c>
      <c r="E2" s="652" t="s">
        <v>237</v>
      </c>
      <c r="F2" s="652" t="s">
        <v>238</v>
      </c>
      <c r="G2" s="652" t="s">
        <v>305</v>
      </c>
      <c r="H2" s="652" t="s">
        <v>239</v>
      </c>
      <c r="I2" s="652" t="s">
        <v>315</v>
      </c>
      <c r="J2" s="652" t="s">
        <v>243</v>
      </c>
      <c r="K2" s="652" t="s">
        <v>240</v>
      </c>
      <c r="L2" s="652" t="s">
        <v>241</v>
      </c>
      <c r="M2" s="652" t="s">
        <v>242</v>
      </c>
      <c r="O2" s="656" t="s">
        <v>1016</v>
      </c>
      <c r="P2" s="458" t="s">
        <v>1017</v>
      </c>
      <c r="Q2" s="225" t="s">
        <v>1018</v>
      </c>
      <c r="R2" s="656" t="s">
        <v>1016</v>
      </c>
      <c r="S2" s="458" t="s">
        <v>1017</v>
      </c>
      <c r="T2" s="456" t="s">
        <v>1018</v>
      </c>
      <c r="U2" s="657" t="s">
        <v>1016</v>
      </c>
      <c r="V2" s="458" t="s">
        <v>1017</v>
      </c>
      <c r="W2" s="225" t="s">
        <v>1018</v>
      </c>
      <c r="X2" s="656" t="s">
        <v>1016</v>
      </c>
      <c r="Y2" s="458" t="s">
        <v>1017</v>
      </c>
      <c r="Z2" s="658" t="s">
        <v>1018</v>
      </c>
      <c r="AA2" s="657" t="s">
        <v>1016</v>
      </c>
      <c r="AB2" s="458" t="s">
        <v>1017</v>
      </c>
      <c r="AC2" s="225" t="s">
        <v>1018</v>
      </c>
      <c r="AD2" s="656" t="s">
        <v>1016</v>
      </c>
      <c r="AE2" s="458" t="s">
        <v>1017</v>
      </c>
      <c r="AF2" s="658" t="s">
        <v>1018</v>
      </c>
      <c r="AG2" s="657" t="s">
        <v>1016</v>
      </c>
      <c r="AH2" s="458" t="s">
        <v>1017</v>
      </c>
      <c r="AI2" s="225" t="s">
        <v>1018</v>
      </c>
      <c r="AJ2" s="656" t="s">
        <v>1016</v>
      </c>
      <c r="AK2" s="458" t="s">
        <v>1017</v>
      </c>
      <c r="AL2" s="658" t="s">
        <v>1018</v>
      </c>
      <c r="AM2" s="657" t="s">
        <v>1016</v>
      </c>
      <c r="AN2" s="458" t="s">
        <v>1017</v>
      </c>
      <c r="AO2" s="225" t="s">
        <v>1018</v>
      </c>
      <c r="AP2" s="656" t="s">
        <v>1016</v>
      </c>
      <c r="AQ2" s="458" t="s">
        <v>1017</v>
      </c>
      <c r="AR2" s="658" t="s">
        <v>1018</v>
      </c>
      <c r="AS2" s="657" t="s">
        <v>1016</v>
      </c>
      <c r="AT2" s="458" t="s">
        <v>1017</v>
      </c>
      <c r="AU2" s="225" t="s">
        <v>1018</v>
      </c>
      <c r="AV2" s="657" t="s">
        <v>1016</v>
      </c>
      <c r="AW2" s="458" t="s">
        <v>1017</v>
      </c>
      <c r="AX2" s="225" t="s">
        <v>1018</v>
      </c>
      <c r="AY2" s="656" t="s">
        <v>1016</v>
      </c>
      <c r="AZ2" s="458" t="s">
        <v>1017</v>
      </c>
      <c r="BA2" s="658" t="s">
        <v>1018</v>
      </c>
      <c r="BB2" s="657" t="s">
        <v>1016</v>
      </c>
      <c r="BC2" s="458" t="s">
        <v>1017</v>
      </c>
      <c r="BD2" s="225" t="s">
        <v>1018</v>
      </c>
      <c r="BE2" s="657" t="s">
        <v>1016</v>
      </c>
      <c r="BF2" s="458" t="s">
        <v>1017</v>
      </c>
      <c r="BG2" s="225" t="s">
        <v>1018</v>
      </c>
      <c r="BH2" s="656" t="s">
        <v>1016</v>
      </c>
      <c r="BI2" s="458" t="s">
        <v>1017</v>
      </c>
      <c r="BJ2" s="658" t="s">
        <v>1018</v>
      </c>
      <c r="BK2" s="656" t="s">
        <v>1016</v>
      </c>
      <c r="BL2" s="458" t="s">
        <v>1017</v>
      </c>
      <c r="BM2" s="658" t="s">
        <v>1018</v>
      </c>
      <c r="BN2" s="657" t="s">
        <v>1016</v>
      </c>
      <c r="BO2" s="458" t="s">
        <v>1017</v>
      </c>
      <c r="BP2" s="225" t="s">
        <v>1018</v>
      </c>
      <c r="BQ2" s="657" t="s">
        <v>1016</v>
      </c>
      <c r="BR2" s="458" t="s">
        <v>1017</v>
      </c>
      <c r="BS2" s="225" t="s">
        <v>1018</v>
      </c>
      <c r="BT2" s="656" t="s">
        <v>1016</v>
      </c>
      <c r="BU2" s="458" t="s">
        <v>1017</v>
      </c>
      <c r="BV2" s="658" t="s">
        <v>1018</v>
      </c>
      <c r="BW2" s="657" t="s">
        <v>1016</v>
      </c>
      <c r="BX2" s="458" t="s">
        <v>1017</v>
      </c>
      <c r="BY2" s="225" t="s">
        <v>1018</v>
      </c>
      <c r="BZ2" s="656" t="s">
        <v>1016</v>
      </c>
      <c r="CA2" s="458" t="s">
        <v>1017</v>
      </c>
      <c r="CB2" s="658" t="s">
        <v>1018</v>
      </c>
      <c r="CC2" s="657" t="s">
        <v>1016</v>
      </c>
      <c r="CD2" s="458" t="s">
        <v>1017</v>
      </c>
      <c r="CE2" s="225" t="s">
        <v>1018</v>
      </c>
      <c r="CF2" s="656" t="s">
        <v>1016</v>
      </c>
      <c r="CG2" s="458" t="s">
        <v>1017</v>
      </c>
      <c r="CH2" s="658" t="s">
        <v>1018</v>
      </c>
    </row>
    <row r="3" spans="1:86" ht="13">
      <c r="O3" s="853" t="s">
        <v>1015</v>
      </c>
      <c r="P3" s="851"/>
      <c r="Q3" s="852"/>
      <c r="R3" s="853" t="s">
        <v>1015</v>
      </c>
      <c r="S3" s="851"/>
      <c r="T3" s="852"/>
      <c r="U3" s="850" t="s">
        <v>1015</v>
      </c>
      <c r="V3" s="851"/>
      <c r="W3" s="852"/>
      <c r="X3" s="853" t="s">
        <v>1019</v>
      </c>
      <c r="Y3" s="851"/>
      <c r="Z3" s="854"/>
      <c r="AA3" s="850" t="s">
        <v>1015</v>
      </c>
      <c r="AB3" s="851"/>
      <c r="AC3" s="852"/>
      <c r="AD3" s="853" t="s">
        <v>1019</v>
      </c>
      <c r="AE3" s="851"/>
      <c r="AF3" s="854"/>
      <c r="AG3" s="850" t="s">
        <v>1015</v>
      </c>
      <c r="AH3" s="851"/>
      <c r="AI3" s="852"/>
      <c r="AJ3" s="853" t="s">
        <v>1019</v>
      </c>
      <c r="AK3" s="851"/>
      <c r="AL3" s="854"/>
      <c r="AM3" s="850" t="s">
        <v>1015</v>
      </c>
      <c r="AN3" s="851"/>
      <c r="AO3" s="852"/>
      <c r="AP3" s="853" t="s">
        <v>1019</v>
      </c>
      <c r="AQ3" s="851"/>
      <c r="AR3" s="854"/>
      <c r="AS3" s="850" t="s">
        <v>1023</v>
      </c>
      <c r="AT3" s="851"/>
      <c r="AU3" s="852"/>
      <c r="AV3" s="850" t="s">
        <v>1015</v>
      </c>
      <c r="AW3" s="851"/>
      <c r="AX3" s="852"/>
      <c r="AY3" s="853" t="s">
        <v>1019</v>
      </c>
      <c r="AZ3" s="851"/>
      <c r="BA3" s="854"/>
      <c r="BB3" s="850" t="s">
        <v>1023</v>
      </c>
      <c r="BC3" s="851"/>
      <c r="BD3" s="852"/>
      <c r="BE3" s="850" t="s">
        <v>1015</v>
      </c>
      <c r="BF3" s="851"/>
      <c r="BG3" s="852"/>
      <c r="BH3" s="853" t="s">
        <v>1019</v>
      </c>
      <c r="BI3" s="851"/>
      <c r="BJ3" s="854"/>
      <c r="BK3" s="853" t="s">
        <v>1024</v>
      </c>
      <c r="BL3" s="851"/>
      <c r="BM3" s="854"/>
      <c r="BN3" s="850" t="s">
        <v>1015</v>
      </c>
      <c r="BO3" s="851"/>
      <c r="BP3" s="852"/>
      <c r="BQ3" s="850" t="s">
        <v>1019</v>
      </c>
      <c r="BR3" s="851"/>
      <c r="BS3" s="852"/>
      <c r="BT3" s="853" t="s">
        <v>1024</v>
      </c>
      <c r="BU3" s="851"/>
      <c r="BV3" s="854"/>
      <c r="BW3" s="850" t="s">
        <v>1015</v>
      </c>
      <c r="BX3" s="851"/>
      <c r="BY3" s="852"/>
      <c r="BZ3" s="853" t="s">
        <v>1019</v>
      </c>
      <c r="CA3" s="851"/>
      <c r="CB3" s="854"/>
      <c r="CC3" s="850" t="s">
        <v>1015</v>
      </c>
      <c r="CD3" s="851"/>
      <c r="CE3" s="852"/>
      <c r="CF3" s="853" t="s">
        <v>1019</v>
      </c>
      <c r="CG3" s="851"/>
      <c r="CH3" s="854"/>
    </row>
    <row r="4" spans="1:86">
      <c r="A4">
        <v>80</v>
      </c>
      <c r="B4">
        <v>80</v>
      </c>
      <c r="C4">
        <v>80</v>
      </c>
      <c r="D4">
        <v>93</v>
      </c>
      <c r="E4">
        <v>120</v>
      </c>
      <c r="F4">
        <v>135</v>
      </c>
      <c r="G4">
        <v>175</v>
      </c>
      <c r="H4">
        <v>175</v>
      </c>
      <c r="I4">
        <v>290</v>
      </c>
      <c r="J4">
        <v>175</v>
      </c>
      <c r="K4">
        <v>120</v>
      </c>
      <c r="L4">
        <v>120</v>
      </c>
      <c r="M4">
        <v>120</v>
      </c>
      <c r="O4" s="656">
        <v>39.29</v>
      </c>
      <c r="P4" s="458">
        <v>69.81</v>
      </c>
      <c r="Q4" s="221">
        <f>AVERAGE(O4:P4)</f>
        <v>54.55</v>
      </c>
      <c r="R4" s="656">
        <v>39.29</v>
      </c>
      <c r="S4" s="458">
        <v>69.81</v>
      </c>
      <c r="T4" s="458">
        <f>AVERAGE(R4:S4)</f>
        <v>54.55</v>
      </c>
      <c r="U4" s="657">
        <v>34.67</v>
      </c>
      <c r="V4" s="458">
        <v>84.67</v>
      </c>
      <c r="W4" s="221">
        <f>AVERAGE(U4:V4)</f>
        <v>59.67</v>
      </c>
      <c r="X4" s="458">
        <v>31.66</v>
      </c>
      <c r="Y4" s="458">
        <v>77.31</v>
      </c>
      <c r="Z4" s="659">
        <f>AVERAGE(X4:Y4)</f>
        <v>54.484999999999999</v>
      </c>
      <c r="AA4">
        <v>26.84</v>
      </c>
      <c r="AB4">
        <v>84.31</v>
      </c>
      <c r="AC4" s="659">
        <f>AVERAGE(AA4:AB4)</f>
        <v>55.575000000000003</v>
      </c>
      <c r="AD4">
        <v>23.01</v>
      </c>
      <c r="AE4">
        <v>72.260000000000005</v>
      </c>
      <c r="AF4" s="659">
        <f>AVERAGE(AD4:AE4)</f>
        <v>47.635000000000005</v>
      </c>
      <c r="AG4">
        <v>18.23</v>
      </c>
      <c r="AH4">
        <v>42.76</v>
      </c>
      <c r="AI4" s="659">
        <f>AVERAGE(AG4:AH4)</f>
        <v>30.494999999999997</v>
      </c>
      <c r="AJ4">
        <v>16.02</v>
      </c>
      <c r="AK4">
        <v>37.58</v>
      </c>
      <c r="AL4" s="659">
        <f>AVERAGE(AJ4:AK4)</f>
        <v>26.799999999999997</v>
      </c>
      <c r="AM4">
        <v>17.97</v>
      </c>
      <c r="AN4">
        <v>54.89</v>
      </c>
      <c r="AO4" s="659">
        <f>AVERAGE(AM4:AN4)</f>
        <v>36.43</v>
      </c>
      <c r="AP4">
        <v>15.97</v>
      </c>
      <c r="AQ4">
        <v>48.79</v>
      </c>
      <c r="AR4" s="659">
        <f>AVERAGE(AP4:AQ4)</f>
        <v>32.380000000000003</v>
      </c>
      <c r="AS4">
        <v>21.38</v>
      </c>
      <c r="AT4">
        <v>43.91</v>
      </c>
      <c r="AU4" s="659">
        <f>AVERAGE(AS4:AT4)</f>
        <v>32.644999999999996</v>
      </c>
      <c r="AV4">
        <v>18.71</v>
      </c>
      <c r="AW4">
        <v>38.42</v>
      </c>
      <c r="AX4" s="659">
        <f>AVERAGE(AV4:AW4)</f>
        <v>28.565000000000001</v>
      </c>
      <c r="AY4">
        <v>16.63</v>
      </c>
      <c r="AZ4">
        <v>34.15</v>
      </c>
      <c r="BA4" s="659">
        <f>AVERAGE(AY4:AZ4)</f>
        <v>25.39</v>
      </c>
      <c r="BB4">
        <v>21.38</v>
      </c>
      <c r="BC4">
        <v>43.91</v>
      </c>
      <c r="BD4" s="659">
        <f>AVERAGE(BB4:BC4)</f>
        <v>32.644999999999996</v>
      </c>
      <c r="BE4">
        <v>18.71</v>
      </c>
      <c r="BF4">
        <v>38.42</v>
      </c>
      <c r="BG4" s="659">
        <f>AVERAGE(BE4:BF4)</f>
        <v>28.565000000000001</v>
      </c>
      <c r="BH4">
        <v>16.63</v>
      </c>
      <c r="BI4">
        <v>34.15</v>
      </c>
      <c r="BJ4" s="659">
        <f>AVERAGE(BH4:BI4)</f>
        <v>25.39</v>
      </c>
      <c r="BK4">
        <v>18.48</v>
      </c>
      <c r="BL4">
        <v>37.94</v>
      </c>
      <c r="BM4" s="659">
        <f>AVERAGE(BK4:BL4)</f>
        <v>28.21</v>
      </c>
      <c r="BN4">
        <v>19.059999999999999</v>
      </c>
      <c r="BO4">
        <v>20.329999999999998</v>
      </c>
      <c r="BP4" s="659">
        <f>AVERAGE(BN4:BO4)</f>
        <v>19.695</v>
      </c>
      <c r="BQ4">
        <v>16.940000000000001</v>
      </c>
      <c r="BR4">
        <v>18.07</v>
      </c>
      <c r="BS4" s="659">
        <f>AVERAGE(BQ4:BR4)</f>
        <v>17.505000000000003</v>
      </c>
      <c r="BT4">
        <v>15.24</v>
      </c>
      <c r="BU4">
        <v>16.260000000000002</v>
      </c>
      <c r="BV4" s="659">
        <f>AVERAGE(BT4:BU4)</f>
        <v>15.75</v>
      </c>
      <c r="BW4">
        <v>40.85</v>
      </c>
      <c r="BX4">
        <v>60.99</v>
      </c>
      <c r="BY4" s="659">
        <f>AVERAGE(BW4:BX4)</f>
        <v>50.92</v>
      </c>
      <c r="BZ4">
        <v>34.04</v>
      </c>
      <c r="CA4">
        <v>50.83</v>
      </c>
      <c r="CB4" s="659">
        <f>AVERAGE(BZ4:CA4)</f>
        <v>42.435000000000002</v>
      </c>
      <c r="CC4">
        <v>40.04</v>
      </c>
      <c r="CD4">
        <v>42.39</v>
      </c>
      <c r="CE4" s="659">
        <f>AVERAGE(CC4:CD4)</f>
        <v>41.215000000000003</v>
      </c>
      <c r="CF4">
        <v>36.03</v>
      </c>
      <c r="CG4">
        <v>37.85</v>
      </c>
      <c r="CH4" s="659">
        <f>AVERAGE(CF4:CG4)</f>
        <v>36.94</v>
      </c>
    </row>
    <row r="5" spans="1:86">
      <c r="A5">
        <v>83</v>
      </c>
      <c r="B5">
        <v>83</v>
      </c>
      <c r="C5">
        <v>83</v>
      </c>
      <c r="D5">
        <v>96</v>
      </c>
      <c r="E5">
        <v>125</v>
      </c>
      <c r="F5">
        <v>140</v>
      </c>
      <c r="G5">
        <v>180</v>
      </c>
      <c r="H5">
        <v>180</v>
      </c>
      <c r="I5">
        <v>300</v>
      </c>
      <c r="J5">
        <v>180</v>
      </c>
      <c r="K5">
        <v>125</v>
      </c>
      <c r="L5">
        <v>125</v>
      </c>
      <c r="M5">
        <v>125</v>
      </c>
      <c r="O5" s="656">
        <v>36.479999999999997</v>
      </c>
      <c r="P5" s="458">
        <v>62.32</v>
      </c>
      <c r="Q5" s="221">
        <f t="shared" ref="Q5:Q68" si="0">AVERAGE(O5:P5)</f>
        <v>49.4</v>
      </c>
      <c r="R5" s="656">
        <v>36.479999999999997</v>
      </c>
      <c r="S5" s="458">
        <v>62.32</v>
      </c>
      <c r="T5" s="458">
        <f t="shared" ref="T5:T68" si="1">AVERAGE(R5:S5)</f>
        <v>49.4</v>
      </c>
      <c r="U5" s="657">
        <v>32.15</v>
      </c>
      <c r="V5" s="458">
        <v>73.19</v>
      </c>
      <c r="W5" s="221">
        <f t="shared" ref="W5:W68" si="2">AVERAGE(U5:V5)</f>
        <v>52.67</v>
      </c>
      <c r="X5" s="458">
        <v>29.36</v>
      </c>
      <c r="Y5" s="458">
        <v>66.819999999999993</v>
      </c>
      <c r="Z5" s="659">
        <f t="shared" ref="Z5:Z68" si="3">AVERAGE(X5:Y5)</f>
        <v>48.089999999999996</v>
      </c>
      <c r="AA5">
        <v>25.15</v>
      </c>
      <c r="AB5">
        <v>70.900000000000006</v>
      </c>
      <c r="AC5" s="659">
        <f t="shared" ref="AC5:AC68" si="4">AVERAGE(AA5:AB5)</f>
        <v>48.025000000000006</v>
      </c>
      <c r="AD5">
        <v>21.56</v>
      </c>
      <c r="AE5">
        <v>60.77</v>
      </c>
      <c r="AF5" s="659">
        <f t="shared" ref="AF5:AF68" si="5">AVERAGE(AD5:AE5)</f>
        <v>41.164999999999999</v>
      </c>
      <c r="AG5">
        <v>16.73</v>
      </c>
      <c r="AH5">
        <v>35.659999999999997</v>
      </c>
      <c r="AI5" s="659">
        <f t="shared" ref="AI5:AI68" si="6">AVERAGE(AG5:AH5)</f>
        <v>26.195</v>
      </c>
      <c r="AJ5">
        <v>14.71</v>
      </c>
      <c r="AK5">
        <v>31.33</v>
      </c>
      <c r="AL5" s="659">
        <f t="shared" ref="AL5:AL68" si="7">AVERAGE(AJ5:AK5)</f>
        <v>23.02</v>
      </c>
      <c r="AM5">
        <v>16.260000000000002</v>
      </c>
      <c r="AN5">
        <v>43.66</v>
      </c>
      <c r="AO5" s="659">
        <f t="shared" ref="AO5:AO68" si="8">AVERAGE(AM5:AN5)</f>
        <v>29.96</v>
      </c>
      <c r="AP5">
        <v>14.46</v>
      </c>
      <c r="AQ5">
        <v>38.81</v>
      </c>
      <c r="AR5" s="659">
        <f t="shared" ref="AR5:AR68" si="9">AVERAGE(AP5:AQ5)</f>
        <v>26.635000000000002</v>
      </c>
      <c r="AS5">
        <v>19.7</v>
      </c>
      <c r="AT5">
        <v>37.840000000000003</v>
      </c>
      <c r="AU5" s="659">
        <f t="shared" ref="AU5:AU68" si="10">AVERAGE(AS5:AT5)</f>
        <v>28.770000000000003</v>
      </c>
      <c r="AV5">
        <v>17.239999999999998</v>
      </c>
      <c r="AW5">
        <v>33.11</v>
      </c>
      <c r="AX5" s="659">
        <f t="shared" ref="AX5:AX68" si="11">AVERAGE(AV5:AW5)</f>
        <v>25.174999999999997</v>
      </c>
      <c r="AY5">
        <v>15.33</v>
      </c>
      <c r="AZ5">
        <v>29.43</v>
      </c>
      <c r="BA5" s="659">
        <f t="shared" ref="BA5:BA68" si="12">AVERAGE(AY5:AZ5)</f>
        <v>22.38</v>
      </c>
      <c r="BB5">
        <v>19.7</v>
      </c>
      <c r="BC5">
        <v>37.840000000000003</v>
      </c>
      <c r="BD5" s="659">
        <f t="shared" ref="BD5:BD68" si="13">AVERAGE(BB5:BC5)</f>
        <v>28.770000000000003</v>
      </c>
      <c r="BE5">
        <v>17.239999999999998</v>
      </c>
      <c r="BF5">
        <v>33.11</v>
      </c>
      <c r="BG5" s="659">
        <f t="shared" ref="BG5:BG68" si="14">AVERAGE(BE5:BF5)</f>
        <v>25.174999999999997</v>
      </c>
      <c r="BH5">
        <v>15.33</v>
      </c>
      <c r="BI5">
        <v>29.43</v>
      </c>
      <c r="BJ5" s="659">
        <f t="shared" ref="BJ5:BJ68" si="15">AVERAGE(BH5:BI5)</f>
        <v>22.38</v>
      </c>
      <c r="BK5">
        <v>17.03</v>
      </c>
      <c r="BL5">
        <v>32.700000000000003</v>
      </c>
      <c r="BM5" s="659">
        <f t="shared" ref="BM5:BM68" si="16">AVERAGE(BK5:BL5)</f>
        <v>24.865000000000002</v>
      </c>
      <c r="BN5">
        <v>17.809999999999999</v>
      </c>
      <c r="BO5">
        <v>18.57</v>
      </c>
      <c r="BP5" s="659">
        <f t="shared" ref="BP5:BP64" si="17">AVERAGE(BN5:BO5)</f>
        <v>18.189999999999998</v>
      </c>
      <c r="BQ5">
        <v>15.83</v>
      </c>
      <c r="BR5">
        <v>16.5</v>
      </c>
      <c r="BS5" s="659">
        <f t="shared" ref="BS5:BS64" si="18">AVERAGE(BQ5:BR5)</f>
        <v>16.164999999999999</v>
      </c>
      <c r="BT5">
        <v>14.25</v>
      </c>
      <c r="BU5">
        <v>14.85</v>
      </c>
      <c r="BV5" s="659">
        <f t="shared" ref="BV5:BV64" si="19">AVERAGE(BT5:BU5)</f>
        <v>14.55</v>
      </c>
      <c r="BW5">
        <v>37.86</v>
      </c>
      <c r="BX5">
        <v>55.36</v>
      </c>
      <c r="BY5" s="659">
        <f t="shared" ref="BY5:BY68" si="20">AVERAGE(BW5:BX5)</f>
        <v>46.61</v>
      </c>
      <c r="BZ5">
        <v>31.55</v>
      </c>
      <c r="CA5">
        <v>46.13</v>
      </c>
      <c r="CB5" s="659">
        <f t="shared" ref="CB5:CB68" si="21">AVERAGE(BZ5:CA5)</f>
        <v>38.840000000000003</v>
      </c>
      <c r="CC5">
        <v>40.049999999999997</v>
      </c>
      <c r="CD5">
        <v>43.39</v>
      </c>
      <c r="CE5" s="659">
        <f t="shared" ref="CE5:CE68" si="22">AVERAGE(CC5:CD5)</f>
        <v>41.72</v>
      </c>
      <c r="CF5">
        <v>36.04</v>
      </c>
      <c r="CG5">
        <v>38.85</v>
      </c>
      <c r="CH5" s="659">
        <f t="shared" ref="CH5:CH68" si="23">AVERAGE(CF5:CG5)</f>
        <v>37.445</v>
      </c>
    </row>
    <row r="6" spans="1:86">
      <c r="A6">
        <v>86</v>
      </c>
      <c r="B6">
        <v>86</v>
      </c>
      <c r="C6">
        <v>86</v>
      </c>
      <c r="D6">
        <v>100</v>
      </c>
      <c r="E6">
        <v>130</v>
      </c>
      <c r="F6">
        <v>145</v>
      </c>
      <c r="G6">
        <v>185</v>
      </c>
      <c r="H6">
        <v>185</v>
      </c>
      <c r="I6">
        <v>310</v>
      </c>
      <c r="J6">
        <v>185</v>
      </c>
      <c r="K6">
        <v>130</v>
      </c>
      <c r="L6">
        <v>130</v>
      </c>
      <c r="M6">
        <v>130</v>
      </c>
      <c r="O6" s="656">
        <v>33.950000000000003</v>
      </c>
      <c r="P6" s="458">
        <v>56.08</v>
      </c>
      <c r="Q6" s="221">
        <f t="shared" si="0"/>
        <v>45.015000000000001</v>
      </c>
      <c r="R6" s="656">
        <v>33.950000000000003</v>
      </c>
      <c r="S6" s="458">
        <v>56.08</v>
      </c>
      <c r="T6" s="458">
        <f t="shared" si="1"/>
        <v>45.015000000000001</v>
      </c>
      <c r="U6" s="657">
        <v>29.89</v>
      </c>
      <c r="V6" s="458">
        <v>64.14</v>
      </c>
      <c r="W6" s="221">
        <f t="shared" si="2"/>
        <v>47.015000000000001</v>
      </c>
      <c r="X6" s="458">
        <v>27.29</v>
      </c>
      <c r="Y6" s="458">
        <v>58.56</v>
      </c>
      <c r="Z6" s="659">
        <f t="shared" si="3"/>
        <v>42.924999999999997</v>
      </c>
      <c r="AA6">
        <v>23.16</v>
      </c>
      <c r="AB6">
        <v>58.14</v>
      </c>
      <c r="AC6" s="659">
        <f t="shared" si="4"/>
        <v>40.65</v>
      </c>
      <c r="AD6">
        <v>19.850000000000001</v>
      </c>
      <c r="AE6">
        <v>49.83</v>
      </c>
      <c r="AF6" s="659">
        <f t="shared" si="5"/>
        <v>34.840000000000003</v>
      </c>
      <c r="AG6">
        <v>15.17</v>
      </c>
      <c r="AH6">
        <v>29.9</v>
      </c>
      <c r="AI6" s="659">
        <f t="shared" si="6"/>
        <v>22.535</v>
      </c>
      <c r="AJ6">
        <v>13.33</v>
      </c>
      <c r="AK6">
        <v>26.28</v>
      </c>
      <c r="AL6" s="659">
        <f t="shared" si="7"/>
        <v>19.805</v>
      </c>
      <c r="AM6">
        <v>14.75</v>
      </c>
      <c r="AN6">
        <v>35.72</v>
      </c>
      <c r="AO6" s="659">
        <f t="shared" si="8"/>
        <v>25.234999999999999</v>
      </c>
      <c r="AP6">
        <v>13.11</v>
      </c>
      <c r="AQ6">
        <v>31.75</v>
      </c>
      <c r="AR6" s="659">
        <f t="shared" si="9"/>
        <v>22.43</v>
      </c>
      <c r="AS6">
        <v>18.18</v>
      </c>
      <c r="AT6">
        <v>32.909999999999997</v>
      </c>
      <c r="AU6" s="659">
        <f t="shared" si="10"/>
        <v>25.544999999999998</v>
      </c>
      <c r="AV6">
        <v>15.91</v>
      </c>
      <c r="AW6">
        <v>28.8</v>
      </c>
      <c r="AX6" s="659">
        <f t="shared" si="11"/>
        <v>22.355</v>
      </c>
      <c r="AY6">
        <v>14.14</v>
      </c>
      <c r="AZ6">
        <v>25.6</v>
      </c>
      <c r="BA6" s="659">
        <f t="shared" si="12"/>
        <v>19.87</v>
      </c>
      <c r="BB6">
        <v>18.18</v>
      </c>
      <c r="BC6">
        <v>32.909999999999997</v>
      </c>
      <c r="BD6" s="659">
        <f t="shared" si="13"/>
        <v>25.544999999999998</v>
      </c>
      <c r="BE6">
        <v>15.91</v>
      </c>
      <c r="BF6">
        <v>28.8</v>
      </c>
      <c r="BG6" s="659">
        <f t="shared" si="14"/>
        <v>22.355</v>
      </c>
      <c r="BH6">
        <v>14.14</v>
      </c>
      <c r="BI6">
        <v>25.6</v>
      </c>
      <c r="BJ6" s="659">
        <f t="shared" si="15"/>
        <v>19.87</v>
      </c>
      <c r="BK6">
        <v>15.71</v>
      </c>
      <c r="BL6">
        <v>28.44</v>
      </c>
      <c r="BM6" s="659">
        <f t="shared" si="16"/>
        <v>22.075000000000003</v>
      </c>
      <c r="BN6">
        <v>16.7</v>
      </c>
      <c r="BO6">
        <v>17.55</v>
      </c>
      <c r="BP6" s="659">
        <f t="shared" si="17"/>
        <v>17.125</v>
      </c>
      <c r="BQ6">
        <v>14.84</v>
      </c>
      <c r="BR6">
        <v>15.6</v>
      </c>
      <c r="BS6" s="659">
        <f t="shared" si="18"/>
        <v>15.219999999999999</v>
      </c>
      <c r="BT6">
        <v>13.36</v>
      </c>
      <c r="BU6">
        <v>14.04</v>
      </c>
      <c r="BV6" s="659">
        <f t="shared" si="19"/>
        <v>13.7</v>
      </c>
      <c r="BW6">
        <v>34.9</v>
      </c>
      <c r="BX6">
        <v>50.42</v>
      </c>
      <c r="BY6" s="659">
        <f t="shared" si="20"/>
        <v>42.66</v>
      </c>
      <c r="BZ6">
        <v>29.08</v>
      </c>
      <c r="CA6">
        <v>42.01</v>
      </c>
      <c r="CB6" s="659">
        <f t="shared" si="21"/>
        <v>35.545000000000002</v>
      </c>
      <c r="CC6">
        <v>40.06</v>
      </c>
      <c r="CD6">
        <v>44.39</v>
      </c>
      <c r="CE6" s="659">
        <f t="shared" si="22"/>
        <v>42.225000000000001</v>
      </c>
      <c r="CF6">
        <v>36.049999999999997</v>
      </c>
      <c r="CG6">
        <v>39.85</v>
      </c>
      <c r="CH6" s="659">
        <f t="shared" si="23"/>
        <v>37.950000000000003</v>
      </c>
    </row>
    <row r="7" spans="1:86">
      <c r="A7">
        <v>90</v>
      </c>
      <c r="B7">
        <v>90</v>
      </c>
      <c r="C7">
        <v>90</v>
      </c>
      <c r="D7">
        <v>103</v>
      </c>
      <c r="E7">
        <v>135</v>
      </c>
      <c r="F7">
        <v>150</v>
      </c>
      <c r="G7">
        <v>190</v>
      </c>
      <c r="H7">
        <v>190</v>
      </c>
      <c r="I7">
        <v>320</v>
      </c>
      <c r="J7">
        <v>190</v>
      </c>
      <c r="K7">
        <v>135</v>
      </c>
      <c r="L7">
        <v>135</v>
      </c>
      <c r="M7">
        <v>135</v>
      </c>
      <c r="O7" s="656">
        <v>30.36</v>
      </c>
      <c r="P7" s="458">
        <v>48.37</v>
      </c>
      <c r="Q7" s="221">
        <f t="shared" si="0"/>
        <v>39.364999999999995</v>
      </c>
      <c r="R7" s="656">
        <v>30.36</v>
      </c>
      <c r="S7" s="458">
        <v>48.37</v>
      </c>
      <c r="T7" s="458">
        <f t="shared" si="1"/>
        <v>39.364999999999995</v>
      </c>
      <c r="U7" s="657">
        <v>26.7</v>
      </c>
      <c r="V7" s="458">
        <v>53.85</v>
      </c>
      <c r="W7" s="221">
        <f t="shared" si="2"/>
        <v>40.274999999999999</v>
      </c>
      <c r="X7" s="458">
        <v>24.38</v>
      </c>
      <c r="Y7" s="458">
        <v>49.16</v>
      </c>
      <c r="Z7" s="659">
        <f t="shared" si="3"/>
        <v>36.769999999999996</v>
      </c>
      <c r="AA7">
        <v>21.4</v>
      </c>
      <c r="AB7">
        <v>50.12</v>
      </c>
      <c r="AC7" s="659">
        <f t="shared" si="4"/>
        <v>35.76</v>
      </c>
      <c r="AD7">
        <v>18.34</v>
      </c>
      <c r="AE7">
        <v>42.96</v>
      </c>
      <c r="AF7" s="659">
        <f t="shared" si="5"/>
        <v>30.65</v>
      </c>
      <c r="AG7">
        <v>19.02</v>
      </c>
      <c r="AH7">
        <v>35.78</v>
      </c>
      <c r="AI7" s="659">
        <f t="shared" si="6"/>
        <v>27.4</v>
      </c>
      <c r="AJ7">
        <v>16.72</v>
      </c>
      <c r="AK7">
        <v>31.44</v>
      </c>
      <c r="AL7" s="659">
        <f t="shared" si="7"/>
        <v>24.08</v>
      </c>
      <c r="AM7">
        <v>13.4</v>
      </c>
      <c r="AN7">
        <v>29.83</v>
      </c>
      <c r="AO7" s="659">
        <f t="shared" si="8"/>
        <v>21.614999999999998</v>
      </c>
      <c r="AP7">
        <v>11.91</v>
      </c>
      <c r="AQ7">
        <v>26.52</v>
      </c>
      <c r="AR7" s="659">
        <f t="shared" si="9"/>
        <v>19.215</v>
      </c>
      <c r="AS7">
        <v>16.79</v>
      </c>
      <c r="AT7">
        <v>28.87</v>
      </c>
      <c r="AU7" s="659">
        <f t="shared" si="10"/>
        <v>22.83</v>
      </c>
      <c r="AV7">
        <v>14.69</v>
      </c>
      <c r="AW7">
        <v>25.26</v>
      </c>
      <c r="AX7" s="659">
        <f t="shared" si="11"/>
        <v>19.975000000000001</v>
      </c>
      <c r="AY7">
        <v>13.06</v>
      </c>
      <c r="AZ7">
        <v>22.45</v>
      </c>
      <c r="BA7" s="659">
        <f t="shared" si="12"/>
        <v>17.754999999999999</v>
      </c>
      <c r="BB7">
        <v>16.79</v>
      </c>
      <c r="BC7">
        <v>28.87</v>
      </c>
      <c r="BD7" s="659">
        <f t="shared" si="13"/>
        <v>22.83</v>
      </c>
      <c r="BE7">
        <v>14.69</v>
      </c>
      <c r="BF7">
        <v>25.26</v>
      </c>
      <c r="BG7" s="659">
        <f t="shared" si="14"/>
        <v>19.975000000000001</v>
      </c>
      <c r="BH7">
        <v>13.06</v>
      </c>
      <c r="BI7">
        <v>22.45</v>
      </c>
      <c r="BJ7" s="659">
        <f t="shared" si="15"/>
        <v>17.754999999999999</v>
      </c>
      <c r="BK7">
        <v>14.51</v>
      </c>
      <c r="BL7">
        <v>24.94</v>
      </c>
      <c r="BM7" s="659">
        <f t="shared" si="16"/>
        <v>19.725000000000001</v>
      </c>
      <c r="BN7">
        <v>19.59</v>
      </c>
      <c r="BO7">
        <v>18.95</v>
      </c>
      <c r="BP7" s="659">
        <f t="shared" si="17"/>
        <v>19.27</v>
      </c>
      <c r="BQ7">
        <v>17.420000000000002</v>
      </c>
      <c r="BR7">
        <v>16.84</v>
      </c>
      <c r="BS7" s="659">
        <f t="shared" si="18"/>
        <v>17.130000000000003</v>
      </c>
      <c r="BT7">
        <v>15.67</v>
      </c>
      <c r="BU7">
        <v>15.16</v>
      </c>
      <c r="BV7" s="659">
        <f t="shared" si="19"/>
        <v>15.414999999999999</v>
      </c>
      <c r="BW7">
        <v>32.54</v>
      </c>
      <c r="BX7">
        <v>45.31</v>
      </c>
      <c r="BY7" s="659">
        <f t="shared" si="20"/>
        <v>38.924999999999997</v>
      </c>
      <c r="BZ7">
        <v>27.11</v>
      </c>
      <c r="CA7">
        <v>37.76</v>
      </c>
      <c r="CB7" s="659">
        <f t="shared" si="21"/>
        <v>32.435000000000002</v>
      </c>
      <c r="CC7">
        <v>29.68</v>
      </c>
      <c r="CD7">
        <v>32.89</v>
      </c>
      <c r="CE7" s="659">
        <f t="shared" si="22"/>
        <v>31.285</v>
      </c>
      <c r="CF7">
        <v>26.71</v>
      </c>
      <c r="CG7">
        <v>29.6</v>
      </c>
      <c r="CH7" s="659">
        <f t="shared" si="23"/>
        <v>28.155000000000001</v>
      </c>
    </row>
    <row r="8" spans="1:86">
      <c r="A8">
        <v>93</v>
      </c>
      <c r="B8">
        <v>93</v>
      </c>
      <c r="C8">
        <v>93</v>
      </c>
      <c r="D8">
        <v>106</v>
      </c>
      <c r="E8">
        <v>140</v>
      </c>
      <c r="F8">
        <v>155</v>
      </c>
      <c r="G8">
        <v>195</v>
      </c>
      <c r="H8">
        <v>195</v>
      </c>
      <c r="I8">
        <v>330</v>
      </c>
      <c r="J8">
        <v>265</v>
      </c>
      <c r="K8">
        <v>140</v>
      </c>
      <c r="L8">
        <v>140</v>
      </c>
      <c r="M8">
        <v>140</v>
      </c>
      <c r="O8" s="656">
        <v>32.799999999999997</v>
      </c>
      <c r="P8" s="458">
        <v>50.14</v>
      </c>
      <c r="Q8" s="221">
        <f t="shared" si="0"/>
        <v>41.47</v>
      </c>
      <c r="R8" s="656">
        <v>32.799999999999997</v>
      </c>
      <c r="S8" s="458">
        <v>50.14</v>
      </c>
      <c r="T8" s="458">
        <f t="shared" si="1"/>
        <v>41.47</v>
      </c>
      <c r="U8" s="657">
        <v>32.26</v>
      </c>
      <c r="V8" s="458">
        <v>60.31</v>
      </c>
      <c r="W8" s="221">
        <f t="shared" si="2"/>
        <v>46.284999999999997</v>
      </c>
      <c r="X8" s="458">
        <v>29.46</v>
      </c>
      <c r="Y8" s="458">
        <v>55.06</v>
      </c>
      <c r="Z8" s="659">
        <f t="shared" si="3"/>
        <v>42.260000000000005</v>
      </c>
      <c r="AA8">
        <v>25.01</v>
      </c>
      <c r="AB8">
        <v>54.14</v>
      </c>
      <c r="AC8" s="659">
        <f t="shared" si="4"/>
        <v>39.575000000000003</v>
      </c>
      <c r="AD8">
        <v>21.43</v>
      </c>
      <c r="AE8">
        <v>46.4</v>
      </c>
      <c r="AF8" s="659">
        <f t="shared" si="5"/>
        <v>33.914999999999999</v>
      </c>
      <c r="AG8">
        <v>17.62</v>
      </c>
      <c r="AH8">
        <v>31.38</v>
      </c>
      <c r="AI8" s="659">
        <f t="shared" si="6"/>
        <v>24.5</v>
      </c>
      <c r="AJ8">
        <v>15.48</v>
      </c>
      <c r="AK8">
        <v>27.58</v>
      </c>
      <c r="AL8" s="659">
        <f t="shared" si="7"/>
        <v>21.53</v>
      </c>
      <c r="AM8">
        <v>17.79</v>
      </c>
      <c r="AN8">
        <v>34.89</v>
      </c>
      <c r="AO8" s="659">
        <f t="shared" si="8"/>
        <v>26.34</v>
      </c>
      <c r="AP8">
        <v>15.81</v>
      </c>
      <c r="AQ8">
        <v>31.02</v>
      </c>
      <c r="AR8" s="659">
        <f t="shared" si="9"/>
        <v>23.414999999999999</v>
      </c>
      <c r="AS8">
        <v>17.260000000000002</v>
      </c>
      <c r="AT8">
        <v>28.82</v>
      </c>
      <c r="AU8" s="659">
        <f t="shared" si="10"/>
        <v>23.04</v>
      </c>
      <c r="AV8">
        <v>15.1</v>
      </c>
      <c r="AW8">
        <v>25.22</v>
      </c>
      <c r="AX8" s="659">
        <f t="shared" si="11"/>
        <v>20.16</v>
      </c>
      <c r="AY8">
        <v>13.42</v>
      </c>
      <c r="AZ8">
        <v>22.42</v>
      </c>
      <c r="BA8" s="659">
        <f t="shared" si="12"/>
        <v>17.920000000000002</v>
      </c>
      <c r="BB8">
        <v>17.260000000000002</v>
      </c>
      <c r="BC8">
        <v>28.82</v>
      </c>
      <c r="BD8" s="659">
        <f t="shared" si="13"/>
        <v>23.04</v>
      </c>
      <c r="BE8">
        <v>15.1</v>
      </c>
      <c r="BF8">
        <v>25.22</v>
      </c>
      <c r="BG8" s="659">
        <f t="shared" si="14"/>
        <v>20.16</v>
      </c>
      <c r="BH8">
        <v>13.42</v>
      </c>
      <c r="BI8">
        <v>22.42</v>
      </c>
      <c r="BJ8" s="659">
        <f t="shared" si="15"/>
        <v>17.920000000000002</v>
      </c>
      <c r="BK8">
        <v>14.91</v>
      </c>
      <c r="BL8">
        <v>24.91</v>
      </c>
      <c r="BM8" s="659">
        <f t="shared" si="16"/>
        <v>19.91</v>
      </c>
      <c r="BN8">
        <v>18.420000000000002</v>
      </c>
      <c r="BO8">
        <v>17.55</v>
      </c>
      <c r="BP8" s="659">
        <f t="shared" si="17"/>
        <v>17.984999999999999</v>
      </c>
      <c r="BQ8">
        <v>16.37</v>
      </c>
      <c r="BR8">
        <v>15.6</v>
      </c>
      <c r="BS8" s="659">
        <f t="shared" si="18"/>
        <v>15.984999999999999</v>
      </c>
      <c r="BT8">
        <v>14.74</v>
      </c>
      <c r="BU8">
        <v>14.04</v>
      </c>
      <c r="BV8" s="659">
        <f t="shared" si="19"/>
        <v>14.39</v>
      </c>
      <c r="BW8">
        <v>45.43</v>
      </c>
      <c r="BX8">
        <v>43.51</v>
      </c>
      <c r="BY8" s="659">
        <f t="shared" si="20"/>
        <v>44.47</v>
      </c>
      <c r="BZ8">
        <v>37.840000000000003</v>
      </c>
      <c r="CA8">
        <v>36.24</v>
      </c>
      <c r="CB8" s="659">
        <f t="shared" si="21"/>
        <v>37.040000000000006</v>
      </c>
      <c r="CC8">
        <v>27.02</v>
      </c>
      <c r="CD8">
        <v>30.3</v>
      </c>
      <c r="CE8" s="659">
        <f t="shared" si="22"/>
        <v>28.66</v>
      </c>
      <c r="CF8">
        <v>24.32</v>
      </c>
      <c r="CG8">
        <v>27.27</v>
      </c>
      <c r="CH8" s="659">
        <f t="shared" si="23"/>
        <v>25.795000000000002</v>
      </c>
    </row>
    <row r="9" spans="1:86">
      <c r="A9">
        <v>96</v>
      </c>
      <c r="B9">
        <v>96</v>
      </c>
      <c r="C9">
        <v>96</v>
      </c>
      <c r="D9">
        <v>110</v>
      </c>
      <c r="E9">
        <v>145</v>
      </c>
      <c r="F9">
        <v>160</v>
      </c>
      <c r="G9">
        <v>200</v>
      </c>
      <c r="H9">
        <v>200</v>
      </c>
      <c r="I9">
        <v>340</v>
      </c>
      <c r="J9">
        <v>270</v>
      </c>
      <c r="K9">
        <v>145</v>
      </c>
      <c r="L9">
        <v>145</v>
      </c>
      <c r="M9">
        <v>145</v>
      </c>
      <c r="O9" s="656">
        <v>30.7</v>
      </c>
      <c r="P9" s="458">
        <v>45.92</v>
      </c>
      <c r="Q9" s="221">
        <f t="shared" si="0"/>
        <v>38.31</v>
      </c>
      <c r="R9" s="656">
        <v>30.7</v>
      </c>
      <c r="S9" s="458">
        <v>45.92</v>
      </c>
      <c r="T9" s="458">
        <f t="shared" si="1"/>
        <v>38.31</v>
      </c>
      <c r="U9" s="657">
        <v>30.18</v>
      </c>
      <c r="V9" s="458">
        <v>54.42</v>
      </c>
      <c r="W9" s="221">
        <f t="shared" si="2"/>
        <v>42.3</v>
      </c>
      <c r="X9" s="458">
        <v>27.55</v>
      </c>
      <c r="Y9" s="458">
        <v>49.69</v>
      </c>
      <c r="Z9" s="659">
        <f t="shared" si="3"/>
        <v>38.619999999999997</v>
      </c>
      <c r="AA9">
        <v>23.14</v>
      </c>
      <c r="AB9">
        <v>46.75</v>
      </c>
      <c r="AC9" s="659">
        <f t="shared" si="4"/>
        <v>34.945</v>
      </c>
      <c r="AD9">
        <v>19.829999999999998</v>
      </c>
      <c r="AE9">
        <v>40.08</v>
      </c>
      <c r="AF9" s="659">
        <f t="shared" si="5"/>
        <v>29.954999999999998</v>
      </c>
      <c r="AG9">
        <v>16.34</v>
      </c>
      <c r="AH9">
        <v>27.78</v>
      </c>
      <c r="AI9" s="659">
        <f t="shared" si="6"/>
        <v>22.060000000000002</v>
      </c>
      <c r="AJ9">
        <v>14.36</v>
      </c>
      <c r="AK9">
        <v>24.42</v>
      </c>
      <c r="AL9" s="659">
        <f t="shared" si="7"/>
        <v>19.39</v>
      </c>
      <c r="AM9">
        <v>16.28</v>
      </c>
      <c r="AN9">
        <v>30.03</v>
      </c>
      <c r="AO9" s="659">
        <f t="shared" si="8"/>
        <v>23.155000000000001</v>
      </c>
      <c r="AP9">
        <v>14.47</v>
      </c>
      <c r="AQ9">
        <v>26.69</v>
      </c>
      <c r="AR9" s="659">
        <f t="shared" si="9"/>
        <v>20.580000000000002</v>
      </c>
      <c r="AS9">
        <v>16</v>
      </c>
      <c r="AT9">
        <v>25.67</v>
      </c>
      <c r="AU9" s="659">
        <f t="shared" si="10"/>
        <v>20.835000000000001</v>
      </c>
      <c r="AV9">
        <v>14</v>
      </c>
      <c r="AW9">
        <v>22.46</v>
      </c>
      <c r="AX9" s="659">
        <f t="shared" si="11"/>
        <v>18.23</v>
      </c>
      <c r="AY9">
        <v>12.45</v>
      </c>
      <c r="AZ9">
        <v>19.97</v>
      </c>
      <c r="BA9" s="659">
        <f t="shared" si="12"/>
        <v>16.21</v>
      </c>
      <c r="BB9">
        <v>16</v>
      </c>
      <c r="BC9">
        <v>25.67</v>
      </c>
      <c r="BD9" s="659">
        <f t="shared" si="13"/>
        <v>20.835000000000001</v>
      </c>
      <c r="BE9">
        <v>14</v>
      </c>
      <c r="BF9">
        <v>22.46</v>
      </c>
      <c r="BG9" s="659">
        <f t="shared" si="14"/>
        <v>18.23</v>
      </c>
      <c r="BH9">
        <v>12.45</v>
      </c>
      <c r="BI9">
        <v>19.97</v>
      </c>
      <c r="BJ9" s="659">
        <f t="shared" si="15"/>
        <v>16.21</v>
      </c>
      <c r="BK9">
        <v>13.83</v>
      </c>
      <c r="BL9">
        <v>22.19</v>
      </c>
      <c r="BM9" s="659">
        <f t="shared" si="16"/>
        <v>18.010000000000002</v>
      </c>
      <c r="BN9">
        <v>17.309999999999999</v>
      </c>
      <c r="BO9">
        <v>16.63</v>
      </c>
      <c r="BP9" s="659">
        <f t="shared" si="17"/>
        <v>16.97</v>
      </c>
      <c r="BQ9">
        <v>15.38</v>
      </c>
      <c r="BR9">
        <v>14.79</v>
      </c>
      <c r="BS9" s="659">
        <f t="shared" si="18"/>
        <v>15.085000000000001</v>
      </c>
      <c r="BT9">
        <v>13.85</v>
      </c>
      <c r="BU9">
        <v>13.31</v>
      </c>
      <c r="BV9" s="659">
        <f t="shared" si="19"/>
        <v>13.58</v>
      </c>
      <c r="BW9">
        <v>42.69</v>
      </c>
      <c r="BX9">
        <v>40.770000000000003</v>
      </c>
      <c r="BY9" s="659">
        <f t="shared" si="20"/>
        <v>41.730000000000004</v>
      </c>
      <c r="BZ9">
        <v>35.549999999999997</v>
      </c>
      <c r="CA9">
        <v>33.97</v>
      </c>
      <c r="CB9" s="659">
        <f t="shared" si="21"/>
        <v>34.76</v>
      </c>
      <c r="CC9">
        <v>24.6</v>
      </c>
      <c r="CD9">
        <v>27.42</v>
      </c>
      <c r="CE9" s="659">
        <f t="shared" si="22"/>
        <v>26.01</v>
      </c>
      <c r="CF9">
        <v>22.14</v>
      </c>
      <c r="CG9">
        <v>24.68</v>
      </c>
      <c r="CH9" s="659">
        <f t="shared" si="23"/>
        <v>23.41</v>
      </c>
    </row>
    <row r="10" spans="1:86">
      <c r="A10">
        <v>100</v>
      </c>
      <c r="B10">
        <v>100</v>
      </c>
      <c r="C10">
        <v>100</v>
      </c>
      <c r="D10">
        <v>113</v>
      </c>
      <c r="E10">
        <v>150</v>
      </c>
      <c r="F10">
        <v>165</v>
      </c>
      <c r="G10">
        <v>205</v>
      </c>
      <c r="H10">
        <v>205</v>
      </c>
      <c r="I10">
        <v>350</v>
      </c>
      <c r="J10">
        <v>275</v>
      </c>
      <c r="K10">
        <v>150</v>
      </c>
      <c r="L10">
        <v>150</v>
      </c>
      <c r="M10">
        <v>150</v>
      </c>
      <c r="O10" s="656">
        <v>28.19</v>
      </c>
      <c r="P10" s="458">
        <v>41.11</v>
      </c>
      <c r="Q10" s="221">
        <f t="shared" si="0"/>
        <v>34.65</v>
      </c>
      <c r="R10" s="656">
        <v>28.19</v>
      </c>
      <c r="S10" s="458">
        <v>41.11</v>
      </c>
      <c r="T10" s="458">
        <f t="shared" si="1"/>
        <v>34.65</v>
      </c>
      <c r="U10" s="657">
        <v>27.69</v>
      </c>
      <c r="V10" s="458">
        <v>47.92</v>
      </c>
      <c r="W10" s="221">
        <f t="shared" si="2"/>
        <v>37.805</v>
      </c>
      <c r="X10" s="458">
        <v>25.28</v>
      </c>
      <c r="Y10" s="458">
        <v>43.76</v>
      </c>
      <c r="Z10" s="659">
        <f t="shared" si="3"/>
        <v>34.519999999999996</v>
      </c>
      <c r="AA10">
        <v>21.86</v>
      </c>
      <c r="AB10">
        <v>42.27</v>
      </c>
      <c r="AC10" s="659">
        <f t="shared" si="4"/>
        <v>32.064999999999998</v>
      </c>
      <c r="AD10">
        <v>18.739999999999998</v>
      </c>
      <c r="AE10">
        <v>36.229999999999997</v>
      </c>
      <c r="AF10" s="659">
        <f t="shared" si="5"/>
        <v>27.484999999999999</v>
      </c>
      <c r="AG10">
        <v>14.92</v>
      </c>
      <c r="AH10">
        <v>24.4</v>
      </c>
      <c r="AI10" s="659">
        <f t="shared" si="6"/>
        <v>19.66</v>
      </c>
      <c r="AJ10">
        <v>13.12</v>
      </c>
      <c r="AK10">
        <v>21.44</v>
      </c>
      <c r="AL10" s="659">
        <f t="shared" si="7"/>
        <v>17.28</v>
      </c>
      <c r="AM10">
        <v>14.91</v>
      </c>
      <c r="AN10">
        <v>26.1</v>
      </c>
      <c r="AO10" s="659">
        <f t="shared" si="8"/>
        <v>20.505000000000003</v>
      </c>
      <c r="AP10">
        <v>13.26</v>
      </c>
      <c r="AQ10">
        <v>23.2</v>
      </c>
      <c r="AR10" s="659">
        <f t="shared" si="9"/>
        <v>18.23</v>
      </c>
      <c r="AS10">
        <v>14.86</v>
      </c>
      <c r="AT10">
        <v>22.97</v>
      </c>
      <c r="AU10" s="659">
        <f t="shared" si="10"/>
        <v>18.914999999999999</v>
      </c>
      <c r="AV10">
        <v>13</v>
      </c>
      <c r="AW10">
        <v>20.100000000000001</v>
      </c>
      <c r="AX10" s="659">
        <f t="shared" si="11"/>
        <v>16.55</v>
      </c>
      <c r="AY10">
        <v>11.55</v>
      </c>
      <c r="AZ10">
        <v>17.87</v>
      </c>
      <c r="BA10" s="659">
        <f t="shared" si="12"/>
        <v>14.71</v>
      </c>
      <c r="BB10">
        <v>14.86</v>
      </c>
      <c r="BC10">
        <v>22.97</v>
      </c>
      <c r="BD10" s="659">
        <f t="shared" si="13"/>
        <v>18.914999999999999</v>
      </c>
      <c r="BE10">
        <v>13</v>
      </c>
      <c r="BF10">
        <v>20.100000000000001</v>
      </c>
      <c r="BG10" s="659">
        <f t="shared" si="14"/>
        <v>16.55</v>
      </c>
      <c r="BH10">
        <v>11.55</v>
      </c>
      <c r="BI10">
        <v>17.87</v>
      </c>
      <c r="BJ10" s="659">
        <f t="shared" si="15"/>
        <v>14.71</v>
      </c>
      <c r="BK10">
        <v>12.83</v>
      </c>
      <c r="BL10">
        <v>19.86</v>
      </c>
      <c r="BM10" s="659">
        <f t="shared" si="16"/>
        <v>16.344999999999999</v>
      </c>
      <c r="BN10">
        <v>16.34</v>
      </c>
      <c r="BO10">
        <v>15.52</v>
      </c>
      <c r="BP10" s="659">
        <f t="shared" si="17"/>
        <v>15.93</v>
      </c>
      <c r="BQ10">
        <v>14.53</v>
      </c>
      <c r="BR10">
        <v>13.79</v>
      </c>
      <c r="BS10" s="659">
        <f t="shared" si="18"/>
        <v>14.16</v>
      </c>
      <c r="BT10">
        <v>13.07</v>
      </c>
      <c r="BU10">
        <v>12.41</v>
      </c>
      <c r="BV10" s="659">
        <f t="shared" si="19"/>
        <v>12.74</v>
      </c>
      <c r="BW10">
        <v>40.17</v>
      </c>
      <c r="BX10">
        <v>38.28</v>
      </c>
      <c r="BY10" s="659">
        <f t="shared" si="20"/>
        <v>39.225000000000001</v>
      </c>
      <c r="BZ10">
        <v>33.450000000000003</v>
      </c>
      <c r="CA10">
        <v>31.89</v>
      </c>
      <c r="CB10" s="659">
        <f t="shared" si="21"/>
        <v>32.67</v>
      </c>
      <c r="CC10">
        <v>22.49</v>
      </c>
      <c r="CD10">
        <v>24.97</v>
      </c>
      <c r="CE10" s="659">
        <f t="shared" si="22"/>
        <v>23.729999999999997</v>
      </c>
      <c r="CF10">
        <v>20.239999999999998</v>
      </c>
      <c r="CG10">
        <v>22.48</v>
      </c>
      <c r="CH10" s="659">
        <f t="shared" si="23"/>
        <v>21.36</v>
      </c>
    </row>
    <row r="11" spans="1:86">
      <c r="A11">
        <v>103</v>
      </c>
      <c r="B11">
        <v>103</v>
      </c>
      <c r="C11">
        <v>103</v>
      </c>
      <c r="D11">
        <v>116</v>
      </c>
      <c r="E11">
        <v>155</v>
      </c>
      <c r="F11">
        <v>170</v>
      </c>
      <c r="G11">
        <v>210</v>
      </c>
      <c r="H11">
        <v>210</v>
      </c>
      <c r="I11">
        <v>360</v>
      </c>
      <c r="J11">
        <v>280</v>
      </c>
      <c r="K11">
        <v>155</v>
      </c>
      <c r="L11">
        <v>155</v>
      </c>
      <c r="M11">
        <v>155</v>
      </c>
      <c r="O11" s="656">
        <v>25.97</v>
      </c>
      <c r="P11" s="458">
        <v>37.32</v>
      </c>
      <c r="Q11" s="221">
        <f t="shared" si="0"/>
        <v>31.645</v>
      </c>
      <c r="R11" s="656">
        <v>25.97</v>
      </c>
      <c r="S11" s="458">
        <v>37.32</v>
      </c>
      <c r="T11" s="458">
        <f t="shared" si="1"/>
        <v>31.645</v>
      </c>
      <c r="U11" s="657">
        <v>25.56</v>
      </c>
      <c r="V11" s="458">
        <v>43.18</v>
      </c>
      <c r="W11" s="221">
        <f t="shared" si="2"/>
        <v>34.369999999999997</v>
      </c>
      <c r="X11" s="458">
        <v>23.34</v>
      </c>
      <c r="Y11" s="458">
        <v>39.42</v>
      </c>
      <c r="Z11" s="659">
        <f t="shared" si="3"/>
        <v>31.380000000000003</v>
      </c>
      <c r="AA11">
        <v>20.37</v>
      </c>
      <c r="AB11">
        <v>37.9</v>
      </c>
      <c r="AC11" s="659">
        <f t="shared" si="4"/>
        <v>29.134999999999998</v>
      </c>
      <c r="AD11">
        <v>17.46</v>
      </c>
      <c r="AE11">
        <v>32.49</v>
      </c>
      <c r="AF11" s="659">
        <f t="shared" si="5"/>
        <v>24.975000000000001</v>
      </c>
      <c r="AG11">
        <v>18.920000000000002</v>
      </c>
      <c r="AH11">
        <v>29.52</v>
      </c>
      <c r="AI11" s="659">
        <f t="shared" si="6"/>
        <v>24.22</v>
      </c>
      <c r="AJ11">
        <v>16.63</v>
      </c>
      <c r="AK11">
        <v>25.94</v>
      </c>
      <c r="AL11" s="659">
        <f t="shared" si="7"/>
        <v>21.285</v>
      </c>
      <c r="AM11">
        <v>13.68</v>
      </c>
      <c r="AN11">
        <v>22.87</v>
      </c>
      <c r="AO11" s="659">
        <f t="shared" si="8"/>
        <v>18.274999999999999</v>
      </c>
      <c r="AP11">
        <v>12.16</v>
      </c>
      <c r="AQ11">
        <v>20.329999999999998</v>
      </c>
      <c r="AR11" s="659">
        <f t="shared" si="9"/>
        <v>16.244999999999997</v>
      </c>
      <c r="AS11">
        <v>13.79</v>
      </c>
      <c r="AT11">
        <v>20.64</v>
      </c>
      <c r="AU11" s="659">
        <f t="shared" si="10"/>
        <v>17.215</v>
      </c>
      <c r="AV11">
        <v>12.07</v>
      </c>
      <c r="AW11">
        <v>18.059999999999999</v>
      </c>
      <c r="AX11" s="659">
        <f t="shared" si="11"/>
        <v>15.065</v>
      </c>
      <c r="AY11">
        <v>10.73</v>
      </c>
      <c r="AZ11">
        <v>16.05</v>
      </c>
      <c r="BA11" s="659">
        <f t="shared" si="12"/>
        <v>13.39</v>
      </c>
      <c r="BB11">
        <v>13.79</v>
      </c>
      <c r="BC11">
        <v>20.64</v>
      </c>
      <c r="BD11" s="659">
        <f t="shared" si="13"/>
        <v>17.215</v>
      </c>
      <c r="BE11">
        <v>12.07</v>
      </c>
      <c r="BF11">
        <v>18.059999999999999</v>
      </c>
      <c r="BG11" s="659">
        <f t="shared" si="14"/>
        <v>15.065</v>
      </c>
      <c r="BH11">
        <v>10.73</v>
      </c>
      <c r="BI11">
        <v>16.05</v>
      </c>
      <c r="BJ11" s="659">
        <f t="shared" si="15"/>
        <v>13.39</v>
      </c>
      <c r="BK11">
        <v>11.92</v>
      </c>
      <c r="BL11">
        <v>17.829999999999998</v>
      </c>
      <c r="BM11" s="659">
        <f t="shared" si="16"/>
        <v>14.875</v>
      </c>
      <c r="BN11">
        <v>15.46</v>
      </c>
      <c r="BO11">
        <v>14.52</v>
      </c>
      <c r="BP11" s="659">
        <f t="shared" si="17"/>
        <v>14.99</v>
      </c>
      <c r="BQ11">
        <v>13.74</v>
      </c>
      <c r="BR11">
        <v>12.91</v>
      </c>
      <c r="BS11" s="659">
        <f t="shared" si="18"/>
        <v>13.324999999999999</v>
      </c>
      <c r="BT11">
        <v>12.37</v>
      </c>
      <c r="BU11">
        <v>11.62</v>
      </c>
      <c r="BV11" s="659">
        <f t="shared" si="19"/>
        <v>11.994999999999999</v>
      </c>
      <c r="BW11">
        <v>37.82</v>
      </c>
      <c r="BX11">
        <v>35.99</v>
      </c>
      <c r="BY11" s="659">
        <f t="shared" si="20"/>
        <v>36.905000000000001</v>
      </c>
      <c r="BZ11">
        <v>31.49</v>
      </c>
      <c r="CA11">
        <v>29.99</v>
      </c>
      <c r="CB11" s="659">
        <f t="shared" si="21"/>
        <v>30.74</v>
      </c>
      <c r="CC11">
        <v>22.54</v>
      </c>
      <c r="CD11">
        <v>24.49</v>
      </c>
      <c r="CE11" s="659">
        <f t="shared" si="22"/>
        <v>23.515000000000001</v>
      </c>
      <c r="CF11">
        <v>20.29</v>
      </c>
      <c r="CG11">
        <v>22.05</v>
      </c>
      <c r="CH11" s="659">
        <f t="shared" si="23"/>
        <v>21.17</v>
      </c>
    </row>
    <row r="12" spans="1:86">
      <c r="A12">
        <v>106</v>
      </c>
      <c r="B12">
        <v>106</v>
      </c>
      <c r="C12">
        <v>106</v>
      </c>
      <c r="D12">
        <v>120</v>
      </c>
      <c r="E12">
        <v>160</v>
      </c>
      <c r="F12">
        <v>175</v>
      </c>
      <c r="G12">
        <v>215</v>
      </c>
      <c r="H12">
        <v>215</v>
      </c>
      <c r="I12">
        <v>370</v>
      </c>
      <c r="J12">
        <v>285</v>
      </c>
      <c r="K12">
        <v>160</v>
      </c>
      <c r="L12">
        <v>160</v>
      </c>
      <c r="M12">
        <v>160</v>
      </c>
      <c r="O12" s="656">
        <v>30.99</v>
      </c>
      <c r="P12" s="458">
        <v>43.61</v>
      </c>
      <c r="Q12" s="221">
        <f t="shared" si="0"/>
        <v>37.299999999999997</v>
      </c>
      <c r="R12" s="656">
        <v>30.99</v>
      </c>
      <c r="S12" s="458">
        <v>43.61</v>
      </c>
      <c r="T12" s="458">
        <f t="shared" si="1"/>
        <v>37.299999999999997</v>
      </c>
      <c r="U12" s="657">
        <v>25.13</v>
      </c>
      <c r="V12" s="458">
        <v>41.2</v>
      </c>
      <c r="W12" s="221">
        <f t="shared" si="2"/>
        <v>33.164999999999999</v>
      </c>
      <c r="X12" s="458">
        <v>22.95</v>
      </c>
      <c r="Y12" s="458">
        <v>37.619999999999997</v>
      </c>
      <c r="Z12" s="659">
        <f t="shared" si="3"/>
        <v>30.284999999999997</v>
      </c>
      <c r="AA12">
        <v>19.93</v>
      </c>
      <c r="AB12">
        <v>35.31</v>
      </c>
      <c r="AC12" s="659">
        <f t="shared" si="4"/>
        <v>27.62</v>
      </c>
      <c r="AD12">
        <v>17.09</v>
      </c>
      <c r="AE12">
        <v>30.27</v>
      </c>
      <c r="AF12" s="659">
        <f t="shared" si="5"/>
        <v>23.68</v>
      </c>
      <c r="AG12">
        <v>17.66</v>
      </c>
      <c r="AH12">
        <v>26.72</v>
      </c>
      <c r="AI12" s="659">
        <f t="shared" si="6"/>
        <v>22.189999999999998</v>
      </c>
      <c r="AJ12">
        <v>15.52</v>
      </c>
      <c r="AK12">
        <v>23.48</v>
      </c>
      <c r="AL12" s="659">
        <f t="shared" si="7"/>
        <v>19.5</v>
      </c>
      <c r="AM12">
        <v>19.13</v>
      </c>
      <c r="AN12">
        <v>27.73</v>
      </c>
      <c r="AO12" s="659">
        <f t="shared" si="8"/>
        <v>23.43</v>
      </c>
      <c r="AP12">
        <v>17.010000000000002</v>
      </c>
      <c r="AQ12">
        <v>24.65</v>
      </c>
      <c r="AR12" s="659">
        <f t="shared" si="9"/>
        <v>20.83</v>
      </c>
      <c r="AS12">
        <v>16.75</v>
      </c>
      <c r="AT12">
        <v>24.95</v>
      </c>
      <c r="AU12" s="659">
        <f t="shared" si="10"/>
        <v>20.85</v>
      </c>
      <c r="AV12">
        <v>14.66</v>
      </c>
      <c r="AW12">
        <v>21.83</v>
      </c>
      <c r="AX12" s="659">
        <f t="shared" si="11"/>
        <v>18.244999999999997</v>
      </c>
      <c r="AY12">
        <v>13.03</v>
      </c>
      <c r="AZ12">
        <v>19.399999999999999</v>
      </c>
      <c r="BA12" s="659">
        <f t="shared" si="12"/>
        <v>16.215</v>
      </c>
      <c r="BB12">
        <v>16.75</v>
      </c>
      <c r="BC12">
        <v>24.95</v>
      </c>
      <c r="BD12" s="659">
        <f t="shared" si="13"/>
        <v>20.85</v>
      </c>
      <c r="BE12">
        <v>14.66</v>
      </c>
      <c r="BF12">
        <v>21.83</v>
      </c>
      <c r="BG12" s="659">
        <f t="shared" si="14"/>
        <v>18.244999999999997</v>
      </c>
      <c r="BH12">
        <v>13.03</v>
      </c>
      <c r="BI12">
        <v>19.399999999999999</v>
      </c>
      <c r="BJ12" s="659">
        <f t="shared" si="15"/>
        <v>16.215</v>
      </c>
      <c r="BK12">
        <v>14.48</v>
      </c>
      <c r="BL12">
        <v>21.56</v>
      </c>
      <c r="BM12" s="659">
        <f t="shared" si="16"/>
        <v>18.02</v>
      </c>
      <c r="BN12">
        <v>14.67</v>
      </c>
      <c r="BO12">
        <v>13.65</v>
      </c>
      <c r="BP12" s="659">
        <f t="shared" si="17"/>
        <v>14.16</v>
      </c>
      <c r="BQ12">
        <v>13.04</v>
      </c>
      <c r="BR12">
        <v>12.13</v>
      </c>
      <c r="BS12" s="659">
        <f t="shared" si="18"/>
        <v>12.585000000000001</v>
      </c>
      <c r="BT12">
        <v>11.74</v>
      </c>
      <c r="BU12">
        <v>10.92</v>
      </c>
      <c r="BV12" s="659">
        <f t="shared" si="19"/>
        <v>11.33</v>
      </c>
      <c r="BW12">
        <v>35.99</v>
      </c>
      <c r="BX12">
        <v>33.82</v>
      </c>
      <c r="BY12" s="659">
        <f t="shared" si="20"/>
        <v>34.905000000000001</v>
      </c>
      <c r="BZ12">
        <v>29.97</v>
      </c>
      <c r="CA12">
        <v>28.18</v>
      </c>
      <c r="CB12" s="659">
        <f t="shared" si="21"/>
        <v>29.074999999999999</v>
      </c>
      <c r="CC12">
        <v>20.68</v>
      </c>
      <c r="CD12">
        <v>22.42</v>
      </c>
      <c r="CE12" s="659">
        <f t="shared" si="22"/>
        <v>21.55</v>
      </c>
      <c r="CF12">
        <v>18.61</v>
      </c>
      <c r="CG12">
        <v>20.18</v>
      </c>
      <c r="CH12" s="659">
        <f t="shared" si="23"/>
        <v>19.395</v>
      </c>
    </row>
    <row r="13" spans="1:86">
      <c r="A13">
        <v>110</v>
      </c>
      <c r="B13">
        <v>110</v>
      </c>
      <c r="C13">
        <v>110</v>
      </c>
      <c r="D13">
        <v>125</v>
      </c>
      <c r="E13">
        <v>165</v>
      </c>
      <c r="F13">
        <v>180</v>
      </c>
      <c r="G13">
        <v>220</v>
      </c>
      <c r="H13">
        <v>220</v>
      </c>
      <c r="I13">
        <v>380</v>
      </c>
      <c r="J13">
        <v>290</v>
      </c>
      <c r="K13">
        <v>165</v>
      </c>
      <c r="L13">
        <v>165</v>
      </c>
      <c r="M13">
        <v>165</v>
      </c>
      <c r="O13" s="656">
        <v>28.7</v>
      </c>
      <c r="P13" s="458">
        <v>39.659999999999997</v>
      </c>
      <c r="Q13" s="221">
        <f t="shared" si="0"/>
        <v>34.18</v>
      </c>
      <c r="R13" s="656">
        <v>28.7</v>
      </c>
      <c r="S13" s="458">
        <v>39.659999999999997</v>
      </c>
      <c r="T13" s="458">
        <f t="shared" si="1"/>
        <v>34.18</v>
      </c>
      <c r="U13" s="657">
        <v>23.24</v>
      </c>
      <c r="V13" s="458">
        <v>37.04</v>
      </c>
      <c r="W13" s="221">
        <f t="shared" si="2"/>
        <v>30.14</v>
      </c>
      <c r="X13" s="458">
        <v>21.22</v>
      </c>
      <c r="Y13" s="458">
        <v>33.82</v>
      </c>
      <c r="Z13" s="659">
        <f t="shared" si="3"/>
        <v>27.52</v>
      </c>
      <c r="AA13">
        <v>18.29</v>
      </c>
      <c r="AB13">
        <v>30.86</v>
      </c>
      <c r="AC13" s="659">
        <f t="shared" si="4"/>
        <v>24.574999999999999</v>
      </c>
      <c r="AD13">
        <v>15.68</v>
      </c>
      <c r="AE13">
        <v>26.45</v>
      </c>
      <c r="AF13" s="659">
        <f t="shared" si="5"/>
        <v>21.064999999999998</v>
      </c>
      <c r="AG13">
        <v>16.510000000000002</v>
      </c>
      <c r="AH13">
        <v>24.32</v>
      </c>
      <c r="AI13" s="659">
        <f t="shared" si="6"/>
        <v>20.414999999999999</v>
      </c>
      <c r="AJ13">
        <v>14.51</v>
      </c>
      <c r="AK13">
        <v>21.37</v>
      </c>
      <c r="AL13" s="659">
        <f t="shared" si="7"/>
        <v>17.940000000000001</v>
      </c>
      <c r="AM13">
        <v>17.64</v>
      </c>
      <c r="AN13">
        <v>24.61</v>
      </c>
      <c r="AO13" s="659">
        <f t="shared" si="8"/>
        <v>21.125</v>
      </c>
      <c r="AP13">
        <v>15.68</v>
      </c>
      <c r="AQ13">
        <v>21.87</v>
      </c>
      <c r="AR13" s="659">
        <f t="shared" si="9"/>
        <v>18.774999999999999</v>
      </c>
      <c r="AS13">
        <v>15.62</v>
      </c>
      <c r="AT13">
        <v>22.63</v>
      </c>
      <c r="AU13" s="659">
        <f t="shared" si="10"/>
        <v>19.125</v>
      </c>
      <c r="AV13">
        <v>13.67</v>
      </c>
      <c r="AW13">
        <v>19.8</v>
      </c>
      <c r="AX13" s="659">
        <f t="shared" si="11"/>
        <v>16.734999999999999</v>
      </c>
      <c r="AY13">
        <v>12.25</v>
      </c>
      <c r="AZ13">
        <v>17.600000000000001</v>
      </c>
      <c r="BA13" s="659">
        <f t="shared" si="12"/>
        <v>14.925000000000001</v>
      </c>
      <c r="BB13">
        <v>15.62</v>
      </c>
      <c r="BC13">
        <v>22.63</v>
      </c>
      <c r="BD13" s="659">
        <f t="shared" si="13"/>
        <v>19.125</v>
      </c>
      <c r="BE13">
        <v>13.67</v>
      </c>
      <c r="BF13">
        <v>19.8</v>
      </c>
      <c r="BG13" s="659">
        <f t="shared" si="14"/>
        <v>16.734999999999999</v>
      </c>
      <c r="BH13">
        <v>12.15</v>
      </c>
      <c r="BI13">
        <v>17.600000000000001</v>
      </c>
      <c r="BJ13" s="659">
        <f t="shared" si="15"/>
        <v>14.875</v>
      </c>
      <c r="BK13">
        <v>13.5</v>
      </c>
      <c r="BL13">
        <v>19.559999999999999</v>
      </c>
      <c r="BM13" s="659">
        <f t="shared" si="16"/>
        <v>16.53</v>
      </c>
      <c r="BN13">
        <v>21.43</v>
      </c>
      <c r="BO13">
        <v>23.69</v>
      </c>
      <c r="BP13" s="659">
        <f t="shared" si="17"/>
        <v>22.560000000000002</v>
      </c>
      <c r="BQ13">
        <v>19.05</v>
      </c>
      <c r="BR13">
        <v>21.06</v>
      </c>
      <c r="BS13" s="659">
        <f t="shared" si="18"/>
        <v>20.055</v>
      </c>
      <c r="BT13">
        <v>17.14</v>
      </c>
      <c r="BU13">
        <v>18.29</v>
      </c>
      <c r="BV13" s="659">
        <f t="shared" si="19"/>
        <v>17.715</v>
      </c>
      <c r="BW13">
        <v>33.51</v>
      </c>
      <c r="BX13">
        <v>31.68</v>
      </c>
      <c r="BY13" s="659">
        <f t="shared" si="20"/>
        <v>32.594999999999999</v>
      </c>
      <c r="BZ13">
        <v>27.9</v>
      </c>
      <c r="CA13">
        <v>26.51</v>
      </c>
      <c r="CB13" s="659">
        <f t="shared" si="21"/>
        <v>27.204999999999998</v>
      </c>
      <c r="CC13">
        <v>19</v>
      </c>
      <c r="CD13">
        <v>20.59</v>
      </c>
      <c r="CE13" s="659">
        <f t="shared" si="22"/>
        <v>19.795000000000002</v>
      </c>
      <c r="CF13">
        <v>17.100000000000001</v>
      </c>
      <c r="CG13">
        <v>18.53</v>
      </c>
      <c r="CH13" s="659">
        <f t="shared" si="23"/>
        <v>17.815000000000001</v>
      </c>
    </row>
    <row r="14" spans="1:86">
      <c r="A14">
        <v>113</v>
      </c>
      <c r="B14">
        <v>113</v>
      </c>
      <c r="C14">
        <v>113</v>
      </c>
      <c r="D14">
        <v>130</v>
      </c>
      <c r="E14">
        <v>170</v>
      </c>
      <c r="F14">
        <v>185</v>
      </c>
      <c r="G14">
        <v>225</v>
      </c>
      <c r="H14">
        <v>225</v>
      </c>
      <c r="I14">
        <v>390</v>
      </c>
      <c r="J14">
        <v>120</v>
      </c>
      <c r="K14">
        <v>170</v>
      </c>
      <c r="L14">
        <v>170</v>
      </c>
      <c r="M14">
        <v>170</v>
      </c>
      <c r="O14" s="656">
        <v>27.13</v>
      </c>
      <c r="P14" s="458">
        <v>37.049999999999997</v>
      </c>
      <c r="Q14" s="221">
        <f t="shared" si="0"/>
        <v>32.089999999999996</v>
      </c>
      <c r="R14" s="656">
        <v>27.13</v>
      </c>
      <c r="S14" s="458">
        <v>37.049999999999997</v>
      </c>
      <c r="T14" s="458">
        <f t="shared" si="1"/>
        <v>32.089999999999996</v>
      </c>
      <c r="U14" s="657">
        <v>21.95</v>
      </c>
      <c r="V14" s="458">
        <v>34.340000000000003</v>
      </c>
      <c r="W14" s="221">
        <f t="shared" si="2"/>
        <v>28.145000000000003</v>
      </c>
      <c r="X14" s="458">
        <v>20.04</v>
      </c>
      <c r="Y14" s="458">
        <v>31.35</v>
      </c>
      <c r="Z14" s="659">
        <f t="shared" si="3"/>
        <v>25.695</v>
      </c>
      <c r="AA14">
        <v>16.559999999999999</v>
      </c>
      <c r="AB14">
        <v>26.84</v>
      </c>
      <c r="AC14" s="659">
        <f t="shared" si="4"/>
        <v>21.7</v>
      </c>
      <c r="AD14">
        <v>14.19</v>
      </c>
      <c r="AE14">
        <v>23</v>
      </c>
      <c r="AF14" s="659">
        <f t="shared" si="5"/>
        <v>18.594999999999999</v>
      </c>
      <c r="AG14">
        <v>15.27</v>
      </c>
      <c r="AH14">
        <v>21.97</v>
      </c>
      <c r="AI14" s="659">
        <f t="shared" si="6"/>
        <v>18.619999999999997</v>
      </c>
      <c r="AJ14">
        <v>13.42</v>
      </c>
      <c r="AK14">
        <v>19.3</v>
      </c>
      <c r="AL14" s="659">
        <f t="shared" si="7"/>
        <v>16.36</v>
      </c>
      <c r="AM14">
        <v>16.29</v>
      </c>
      <c r="AN14">
        <v>21.94</v>
      </c>
      <c r="AO14" s="659">
        <f t="shared" si="8"/>
        <v>19.115000000000002</v>
      </c>
      <c r="AP14">
        <v>14.48</v>
      </c>
      <c r="AQ14">
        <v>19.5</v>
      </c>
      <c r="AR14" s="659">
        <f t="shared" si="9"/>
        <v>16.990000000000002</v>
      </c>
      <c r="AS14">
        <v>14.58</v>
      </c>
      <c r="AT14">
        <v>20.62</v>
      </c>
      <c r="AU14" s="659">
        <f t="shared" si="10"/>
        <v>17.600000000000001</v>
      </c>
      <c r="AV14">
        <v>12.76</v>
      </c>
      <c r="AW14">
        <v>18.04</v>
      </c>
      <c r="AX14" s="659">
        <f t="shared" si="11"/>
        <v>15.399999999999999</v>
      </c>
      <c r="AY14">
        <v>11.34</v>
      </c>
      <c r="AZ14">
        <v>16.03</v>
      </c>
      <c r="BA14" s="659">
        <f t="shared" si="12"/>
        <v>13.685</v>
      </c>
      <c r="BB14">
        <v>14.58</v>
      </c>
      <c r="BC14">
        <v>20.62</v>
      </c>
      <c r="BD14" s="659">
        <f t="shared" si="13"/>
        <v>17.600000000000001</v>
      </c>
      <c r="BE14">
        <v>12.76</v>
      </c>
      <c r="BF14">
        <v>18.04</v>
      </c>
      <c r="BG14" s="659">
        <f t="shared" si="14"/>
        <v>15.399999999999999</v>
      </c>
      <c r="BH14">
        <v>11.34</v>
      </c>
      <c r="BI14">
        <v>16.03</v>
      </c>
      <c r="BJ14" s="659">
        <f t="shared" si="15"/>
        <v>13.685</v>
      </c>
      <c r="BK14">
        <v>12.6</v>
      </c>
      <c r="BL14">
        <v>17.809999999999999</v>
      </c>
      <c r="BM14" s="659">
        <f t="shared" si="16"/>
        <v>15.204999999999998</v>
      </c>
      <c r="BN14">
        <v>20.399999999999999</v>
      </c>
      <c r="BO14">
        <v>22.32</v>
      </c>
      <c r="BP14" s="659">
        <f t="shared" si="17"/>
        <v>21.36</v>
      </c>
      <c r="BQ14">
        <v>18.13</v>
      </c>
      <c r="BR14">
        <v>19.84</v>
      </c>
      <c r="BS14" s="659">
        <f t="shared" si="18"/>
        <v>18.984999999999999</v>
      </c>
      <c r="BT14">
        <v>16.32</v>
      </c>
      <c r="BU14">
        <v>17.850000000000001</v>
      </c>
      <c r="BV14" s="659">
        <f t="shared" si="19"/>
        <v>17.085000000000001</v>
      </c>
      <c r="BW14">
        <v>24.45</v>
      </c>
      <c r="BX14">
        <v>57.46</v>
      </c>
      <c r="BY14" s="659">
        <f t="shared" si="20"/>
        <v>40.954999999999998</v>
      </c>
      <c r="BZ14">
        <v>20.38</v>
      </c>
      <c r="CA14">
        <v>47.88</v>
      </c>
      <c r="CB14" s="659">
        <f t="shared" si="21"/>
        <v>34.130000000000003</v>
      </c>
      <c r="CC14">
        <v>30.07</v>
      </c>
      <c r="CD14">
        <v>32.86</v>
      </c>
      <c r="CE14" s="659">
        <f t="shared" si="22"/>
        <v>31.465</v>
      </c>
      <c r="CF14">
        <v>27.07</v>
      </c>
      <c r="CG14">
        <v>29.58</v>
      </c>
      <c r="CH14" s="659">
        <f t="shared" si="23"/>
        <v>28.324999999999999</v>
      </c>
    </row>
    <row r="15" spans="1:86">
      <c r="A15">
        <v>116</v>
      </c>
      <c r="B15">
        <v>116</v>
      </c>
      <c r="C15">
        <v>116</v>
      </c>
      <c r="D15">
        <v>135</v>
      </c>
      <c r="E15">
        <v>175</v>
      </c>
      <c r="F15">
        <v>190</v>
      </c>
      <c r="G15">
        <v>230</v>
      </c>
      <c r="H15">
        <v>230</v>
      </c>
      <c r="I15">
        <v>400</v>
      </c>
      <c r="J15">
        <v>125</v>
      </c>
      <c r="K15">
        <v>175</v>
      </c>
      <c r="L15">
        <v>175</v>
      </c>
      <c r="M15">
        <v>175</v>
      </c>
      <c r="O15" s="656">
        <v>25.22</v>
      </c>
      <c r="P15" s="458">
        <v>34.130000000000003</v>
      </c>
      <c r="Q15" s="221">
        <f t="shared" si="0"/>
        <v>29.675000000000001</v>
      </c>
      <c r="R15" s="656">
        <v>25.22</v>
      </c>
      <c r="S15" s="458">
        <v>34.130000000000003</v>
      </c>
      <c r="T15" s="458">
        <f t="shared" si="1"/>
        <v>29.675000000000001</v>
      </c>
      <c r="U15" s="657">
        <v>20.36</v>
      </c>
      <c r="V15" s="458">
        <v>31.41</v>
      </c>
      <c r="W15" s="221">
        <f t="shared" si="2"/>
        <v>25.884999999999998</v>
      </c>
      <c r="X15" s="458">
        <v>18.59</v>
      </c>
      <c r="Y15" s="458">
        <v>28.68</v>
      </c>
      <c r="Z15" s="659">
        <f t="shared" si="3"/>
        <v>23.634999999999998</v>
      </c>
      <c r="AA15">
        <v>21.85</v>
      </c>
      <c r="AB15">
        <v>34.06</v>
      </c>
      <c r="AC15" s="659">
        <f t="shared" si="4"/>
        <v>27.955000000000002</v>
      </c>
      <c r="AD15">
        <v>18.73</v>
      </c>
      <c r="AE15">
        <v>29.2</v>
      </c>
      <c r="AF15" s="659">
        <f t="shared" si="5"/>
        <v>23.965</v>
      </c>
      <c r="AG15">
        <v>14.4</v>
      </c>
      <c r="AH15">
        <v>20.420000000000002</v>
      </c>
      <c r="AI15" s="659">
        <f t="shared" si="6"/>
        <v>17.41</v>
      </c>
      <c r="AJ15">
        <v>12.66</v>
      </c>
      <c r="AK15">
        <v>17.95</v>
      </c>
      <c r="AL15" s="659">
        <f t="shared" si="7"/>
        <v>15.305</v>
      </c>
      <c r="AM15">
        <v>15.06</v>
      </c>
      <c r="AN15">
        <v>19.64</v>
      </c>
      <c r="AO15" s="659">
        <f t="shared" si="8"/>
        <v>17.350000000000001</v>
      </c>
      <c r="AP15">
        <v>13.38</v>
      </c>
      <c r="AQ15">
        <v>17.46</v>
      </c>
      <c r="AR15" s="659">
        <f t="shared" si="9"/>
        <v>15.420000000000002</v>
      </c>
      <c r="AS15">
        <v>13.61</v>
      </c>
      <c r="AT15">
        <v>18.8</v>
      </c>
      <c r="AU15" s="659">
        <f t="shared" si="10"/>
        <v>16.204999999999998</v>
      </c>
      <c r="AV15">
        <v>11.91</v>
      </c>
      <c r="AW15">
        <v>16.45</v>
      </c>
      <c r="AX15" s="659">
        <f t="shared" si="11"/>
        <v>14.18</v>
      </c>
      <c r="AY15">
        <v>10.58</v>
      </c>
      <c r="AZ15">
        <v>14.62</v>
      </c>
      <c r="BA15" s="659">
        <f t="shared" si="12"/>
        <v>12.6</v>
      </c>
      <c r="BB15">
        <v>13.61</v>
      </c>
      <c r="BC15">
        <v>18.8</v>
      </c>
      <c r="BD15" s="659">
        <f t="shared" si="13"/>
        <v>16.204999999999998</v>
      </c>
      <c r="BE15">
        <v>11.91</v>
      </c>
      <c r="BF15">
        <v>16.45</v>
      </c>
      <c r="BG15" s="659">
        <f t="shared" si="14"/>
        <v>14.18</v>
      </c>
      <c r="BH15">
        <v>10.58</v>
      </c>
      <c r="BI15">
        <v>14.62</v>
      </c>
      <c r="BJ15" s="659">
        <f t="shared" si="15"/>
        <v>12.6</v>
      </c>
      <c r="BK15">
        <v>11.76</v>
      </c>
      <c r="BL15">
        <v>16.239999999999998</v>
      </c>
      <c r="BM15" s="659">
        <f t="shared" si="16"/>
        <v>14</v>
      </c>
      <c r="BN15">
        <v>19.46</v>
      </c>
      <c r="BO15">
        <v>21.09</v>
      </c>
      <c r="BP15" s="659">
        <f t="shared" si="17"/>
        <v>20.274999999999999</v>
      </c>
      <c r="BQ15">
        <v>17.3</v>
      </c>
      <c r="BR15">
        <v>18.75</v>
      </c>
      <c r="BS15" s="659">
        <f t="shared" si="18"/>
        <v>18.024999999999999</v>
      </c>
      <c r="BT15">
        <v>15.57</v>
      </c>
      <c r="BU15">
        <v>16.87</v>
      </c>
      <c r="BV15" s="659">
        <f t="shared" si="19"/>
        <v>16.22</v>
      </c>
      <c r="BW15">
        <v>22.43</v>
      </c>
      <c r="BX15">
        <v>47.89</v>
      </c>
      <c r="BY15" s="659">
        <f t="shared" si="20"/>
        <v>35.159999999999997</v>
      </c>
      <c r="BZ15">
        <v>18.7</v>
      </c>
      <c r="CA15">
        <v>39.92</v>
      </c>
      <c r="CB15" s="659">
        <f t="shared" si="21"/>
        <v>29.310000000000002</v>
      </c>
      <c r="CC15">
        <v>27.79</v>
      </c>
      <c r="CD15">
        <v>30.35</v>
      </c>
      <c r="CE15" s="659">
        <f t="shared" si="22"/>
        <v>29.07</v>
      </c>
      <c r="CF15">
        <v>25.01</v>
      </c>
      <c r="CG15">
        <v>27.32</v>
      </c>
      <c r="CH15" s="659">
        <f t="shared" si="23"/>
        <v>26.164999999999999</v>
      </c>
    </row>
    <row r="16" spans="1:86">
      <c r="A16">
        <v>120</v>
      </c>
      <c r="B16">
        <v>120</v>
      </c>
      <c r="C16">
        <v>120</v>
      </c>
      <c r="D16">
        <v>140</v>
      </c>
      <c r="E16">
        <v>180</v>
      </c>
      <c r="F16">
        <v>195</v>
      </c>
      <c r="G16">
        <v>235</v>
      </c>
      <c r="H16">
        <v>235</v>
      </c>
      <c r="I16">
        <v>410</v>
      </c>
      <c r="J16">
        <v>130</v>
      </c>
      <c r="K16">
        <v>180</v>
      </c>
      <c r="L16">
        <v>180</v>
      </c>
      <c r="M16">
        <v>180</v>
      </c>
      <c r="O16" s="656">
        <v>24.1</v>
      </c>
      <c r="P16" s="458">
        <v>32.799999999999997</v>
      </c>
      <c r="Q16" s="221">
        <f t="shared" si="0"/>
        <v>28.45</v>
      </c>
      <c r="R16" s="656">
        <v>24.1</v>
      </c>
      <c r="S16" s="458">
        <v>32.799999999999997</v>
      </c>
      <c r="T16" s="458">
        <f t="shared" si="1"/>
        <v>28.45</v>
      </c>
      <c r="U16" s="657">
        <v>19.96</v>
      </c>
      <c r="V16" s="458">
        <v>29.65</v>
      </c>
      <c r="W16" s="221">
        <f t="shared" si="2"/>
        <v>24.805</v>
      </c>
      <c r="X16" s="458">
        <v>18.22</v>
      </c>
      <c r="Y16" s="458">
        <v>27.07</v>
      </c>
      <c r="Z16" s="659">
        <f t="shared" si="3"/>
        <v>22.645</v>
      </c>
      <c r="AA16">
        <v>20.27</v>
      </c>
      <c r="AB16">
        <v>30.65</v>
      </c>
      <c r="AC16" s="659">
        <f t="shared" si="4"/>
        <v>25.46</v>
      </c>
      <c r="AD16">
        <v>17.37</v>
      </c>
      <c r="AE16">
        <v>26.27</v>
      </c>
      <c r="AF16" s="659">
        <f t="shared" si="5"/>
        <v>21.82</v>
      </c>
      <c r="AG16">
        <v>13.54</v>
      </c>
      <c r="AH16">
        <v>18.829999999999998</v>
      </c>
      <c r="AI16" s="659">
        <f t="shared" si="6"/>
        <v>16.184999999999999</v>
      </c>
      <c r="AJ16">
        <v>11.9</v>
      </c>
      <c r="AK16">
        <v>16.55</v>
      </c>
      <c r="AL16" s="659">
        <f t="shared" si="7"/>
        <v>14.225000000000001</v>
      </c>
      <c r="AM16">
        <v>15.46</v>
      </c>
      <c r="AN16">
        <v>20.059999999999999</v>
      </c>
      <c r="AO16" s="659">
        <f t="shared" si="8"/>
        <v>17.759999999999998</v>
      </c>
      <c r="AP16">
        <v>13.74</v>
      </c>
      <c r="AQ16">
        <v>17.829999999999998</v>
      </c>
      <c r="AR16" s="659">
        <f t="shared" si="9"/>
        <v>15.785</v>
      </c>
      <c r="AS16">
        <v>19.260000000000002</v>
      </c>
      <c r="AT16">
        <v>23.69</v>
      </c>
      <c r="AU16" s="659">
        <f t="shared" si="10"/>
        <v>21.475000000000001</v>
      </c>
      <c r="AV16">
        <v>16.850000000000001</v>
      </c>
      <c r="AW16">
        <v>20.73</v>
      </c>
      <c r="AX16" s="659">
        <f t="shared" si="11"/>
        <v>18.79</v>
      </c>
      <c r="AY16">
        <v>14.98</v>
      </c>
      <c r="AZ16">
        <v>18.420000000000002</v>
      </c>
      <c r="BA16" s="659">
        <f t="shared" si="12"/>
        <v>16.700000000000003</v>
      </c>
      <c r="BB16">
        <v>19.260000000000002</v>
      </c>
      <c r="BC16">
        <v>23.69</v>
      </c>
      <c r="BD16" s="659">
        <f t="shared" si="13"/>
        <v>21.475000000000001</v>
      </c>
      <c r="BE16">
        <v>16.850000000000001</v>
      </c>
      <c r="BF16">
        <v>20.73</v>
      </c>
      <c r="BG16" s="659">
        <f t="shared" si="14"/>
        <v>18.79</v>
      </c>
      <c r="BH16">
        <v>14.98</v>
      </c>
      <c r="BI16">
        <v>18.420000000000002</v>
      </c>
      <c r="BJ16" s="659">
        <f t="shared" si="15"/>
        <v>16.700000000000003</v>
      </c>
      <c r="BK16">
        <v>16.64</v>
      </c>
      <c r="BL16">
        <v>20.47</v>
      </c>
      <c r="BM16" s="659">
        <f t="shared" si="16"/>
        <v>18.555</v>
      </c>
      <c r="BN16">
        <v>18.579999999999998</v>
      </c>
      <c r="BO16">
        <v>19.95</v>
      </c>
      <c r="BP16" s="659">
        <f t="shared" si="17"/>
        <v>19.265000000000001</v>
      </c>
      <c r="BQ16">
        <v>16.510000000000002</v>
      </c>
      <c r="BR16">
        <v>17.739999999999998</v>
      </c>
      <c r="BS16" s="659">
        <f t="shared" si="18"/>
        <v>17.125</v>
      </c>
      <c r="BT16">
        <v>14.86</v>
      </c>
      <c r="BU16">
        <v>15.96</v>
      </c>
      <c r="BV16" s="659">
        <f t="shared" si="19"/>
        <v>15.41</v>
      </c>
      <c r="BW16">
        <v>20.3</v>
      </c>
      <c r="BX16">
        <v>40.11</v>
      </c>
      <c r="BY16" s="659">
        <f t="shared" si="20"/>
        <v>30.204999999999998</v>
      </c>
      <c r="BZ16">
        <v>16.91</v>
      </c>
      <c r="CA16">
        <v>33.43</v>
      </c>
      <c r="CB16" s="659">
        <f t="shared" si="21"/>
        <v>25.17</v>
      </c>
      <c r="CC16">
        <v>25.67</v>
      </c>
      <c r="CD16">
        <v>28.04</v>
      </c>
      <c r="CE16" s="659">
        <f t="shared" si="22"/>
        <v>26.855</v>
      </c>
      <c r="CF16">
        <v>23.1</v>
      </c>
      <c r="CG16">
        <v>25.24</v>
      </c>
      <c r="CH16" s="659">
        <f t="shared" si="23"/>
        <v>24.17</v>
      </c>
    </row>
    <row r="17" spans="1:86">
      <c r="A17">
        <v>125</v>
      </c>
      <c r="B17">
        <v>125</v>
      </c>
      <c r="C17">
        <v>125</v>
      </c>
      <c r="D17">
        <v>145</v>
      </c>
      <c r="E17">
        <v>185</v>
      </c>
      <c r="F17">
        <v>200</v>
      </c>
      <c r="G17">
        <v>240</v>
      </c>
      <c r="H17">
        <v>240</v>
      </c>
      <c r="I17">
        <v>420</v>
      </c>
      <c r="J17">
        <v>135</v>
      </c>
      <c r="K17">
        <v>185</v>
      </c>
      <c r="L17">
        <v>185</v>
      </c>
      <c r="M17">
        <v>185</v>
      </c>
      <c r="O17" s="656">
        <v>22.43</v>
      </c>
      <c r="P17" s="458">
        <v>30.04</v>
      </c>
      <c r="Q17" s="221">
        <f t="shared" si="0"/>
        <v>26.234999999999999</v>
      </c>
      <c r="R17" s="656">
        <v>22.43</v>
      </c>
      <c r="S17" s="458">
        <v>30.04</v>
      </c>
      <c r="T17" s="458">
        <f t="shared" si="1"/>
        <v>26.234999999999999</v>
      </c>
      <c r="U17" s="657">
        <v>18.48</v>
      </c>
      <c r="V17" s="458">
        <v>26.82</v>
      </c>
      <c r="W17" s="221">
        <f t="shared" si="2"/>
        <v>22.65</v>
      </c>
      <c r="X17" s="458">
        <v>16.87</v>
      </c>
      <c r="Y17" s="458">
        <v>24.49</v>
      </c>
      <c r="Z17" s="659">
        <f t="shared" si="3"/>
        <v>20.68</v>
      </c>
      <c r="AA17">
        <v>18.809999999999999</v>
      </c>
      <c r="AB17">
        <v>27.7</v>
      </c>
      <c r="AC17" s="659">
        <f t="shared" si="4"/>
        <v>23.254999999999999</v>
      </c>
      <c r="AD17">
        <v>16.13</v>
      </c>
      <c r="AE17">
        <v>23.74</v>
      </c>
      <c r="AF17" s="659">
        <f t="shared" si="5"/>
        <v>19.934999999999999</v>
      </c>
      <c r="AG17">
        <v>12.74</v>
      </c>
      <c r="AH17">
        <v>17.420000000000002</v>
      </c>
      <c r="AI17" s="659">
        <f t="shared" si="6"/>
        <v>15.080000000000002</v>
      </c>
      <c r="AJ17">
        <v>11.2</v>
      </c>
      <c r="AK17">
        <v>15.31</v>
      </c>
      <c r="AL17" s="659">
        <f t="shared" si="7"/>
        <v>13.254999999999999</v>
      </c>
      <c r="AM17">
        <v>14.35</v>
      </c>
      <c r="AN17">
        <v>18.14</v>
      </c>
      <c r="AO17" s="659">
        <f t="shared" si="8"/>
        <v>16.245000000000001</v>
      </c>
      <c r="AP17">
        <v>12.75</v>
      </c>
      <c r="AQ17">
        <v>16.12</v>
      </c>
      <c r="AR17" s="659">
        <f t="shared" si="9"/>
        <v>14.435</v>
      </c>
      <c r="AS17">
        <v>17.98</v>
      </c>
      <c r="AT17">
        <v>21.62</v>
      </c>
      <c r="AU17" s="659">
        <f t="shared" si="10"/>
        <v>19.8</v>
      </c>
      <c r="AV17">
        <v>16.38</v>
      </c>
      <c r="AW17">
        <v>18.920000000000002</v>
      </c>
      <c r="AX17" s="659">
        <f t="shared" si="11"/>
        <v>17.649999999999999</v>
      </c>
      <c r="AY17">
        <v>13.98</v>
      </c>
      <c r="AZ17">
        <v>16.82</v>
      </c>
      <c r="BA17" s="659">
        <f t="shared" si="12"/>
        <v>15.4</v>
      </c>
      <c r="BB17">
        <v>17.98</v>
      </c>
      <c r="BC17">
        <v>21.62</v>
      </c>
      <c r="BD17" s="659">
        <f t="shared" si="13"/>
        <v>19.8</v>
      </c>
      <c r="BE17">
        <v>15.73</v>
      </c>
      <c r="BF17">
        <v>18.920000000000002</v>
      </c>
      <c r="BG17" s="659">
        <f t="shared" si="14"/>
        <v>17.325000000000003</v>
      </c>
      <c r="BH17">
        <v>13.98</v>
      </c>
      <c r="BI17">
        <v>16.82</v>
      </c>
      <c r="BJ17" s="659">
        <f t="shared" si="15"/>
        <v>15.4</v>
      </c>
      <c r="BK17">
        <v>15.53</v>
      </c>
      <c r="BL17">
        <v>18.690000000000001</v>
      </c>
      <c r="BM17" s="659">
        <f t="shared" si="16"/>
        <v>17.11</v>
      </c>
      <c r="BN17">
        <v>17.79</v>
      </c>
      <c r="BO17">
        <v>18.95</v>
      </c>
      <c r="BP17" s="659">
        <f t="shared" si="17"/>
        <v>18.369999999999997</v>
      </c>
      <c r="BQ17">
        <v>15.81</v>
      </c>
      <c r="BR17">
        <v>16.850000000000001</v>
      </c>
      <c r="BS17" s="659">
        <f t="shared" si="18"/>
        <v>16.330000000000002</v>
      </c>
      <c r="BT17">
        <v>14.23</v>
      </c>
      <c r="BU17">
        <v>15.16</v>
      </c>
      <c r="BV17" s="659">
        <f t="shared" si="19"/>
        <v>14.695</v>
      </c>
      <c r="BW17">
        <v>27.58</v>
      </c>
      <c r="BX17">
        <v>51.88</v>
      </c>
      <c r="BY17" s="659">
        <f t="shared" si="20"/>
        <v>39.730000000000004</v>
      </c>
      <c r="BZ17">
        <v>22.99</v>
      </c>
      <c r="CA17">
        <v>43.23</v>
      </c>
      <c r="CB17" s="659">
        <f t="shared" si="21"/>
        <v>33.11</v>
      </c>
      <c r="CC17">
        <v>23.73</v>
      </c>
      <c r="CD17">
        <v>25.95</v>
      </c>
      <c r="CE17" s="659">
        <f t="shared" si="22"/>
        <v>24.84</v>
      </c>
      <c r="CF17">
        <v>21.36</v>
      </c>
      <c r="CG17">
        <v>23.36</v>
      </c>
      <c r="CH17" s="659">
        <f t="shared" si="23"/>
        <v>22.36</v>
      </c>
    </row>
    <row r="18" spans="1:86">
      <c r="A18">
        <v>130</v>
      </c>
      <c r="B18">
        <v>130</v>
      </c>
      <c r="C18">
        <v>130</v>
      </c>
      <c r="D18">
        <v>150</v>
      </c>
      <c r="E18">
        <v>190</v>
      </c>
      <c r="F18">
        <v>205</v>
      </c>
      <c r="G18">
        <v>245</v>
      </c>
      <c r="H18">
        <v>245</v>
      </c>
      <c r="I18">
        <v>430</v>
      </c>
      <c r="J18">
        <v>140</v>
      </c>
      <c r="K18">
        <v>190</v>
      </c>
      <c r="L18">
        <v>190</v>
      </c>
      <c r="M18">
        <v>190</v>
      </c>
      <c r="O18" s="656">
        <v>20.260000000000002</v>
      </c>
      <c r="P18" s="458">
        <v>26.86</v>
      </c>
      <c r="Q18" s="221">
        <f t="shared" si="0"/>
        <v>23.560000000000002</v>
      </c>
      <c r="R18" s="656">
        <v>20.260000000000002</v>
      </c>
      <c r="S18" s="458">
        <v>26.86</v>
      </c>
      <c r="T18" s="458">
        <f t="shared" si="1"/>
        <v>23.560000000000002</v>
      </c>
      <c r="U18" s="657">
        <v>16.649999999999999</v>
      </c>
      <c r="V18" s="458">
        <v>23.77</v>
      </c>
      <c r="W18" s="221">
        <f t="shared" si="2"/>
        <v>20.21</v>
      </c>
      <c r="X18" s="458">
        <v>15.2</v>
      </c>
      <c r="Y18" s="458">
        <v>21.71</v>
      </c>
      <c r="Z18" s="659">
        <f t="shared" si="3"/>
        <v>18.454999999999998</v>
      </c>
      <c r="AA18">
        <v>17.16</v>
      </c>
      <c r="AB18">
        <v>24.72</v>
      </c>
      <c r="AC18" s="659">
        <f t="shared" si="4"/>
        <v>20.939999999999998</v>
      </c>
      <c r="AD18">
        <v>14.71</v>
      </c>
      <c r="AE18">
        <v>21.18</v>
      </c>
      <c r="AF18" s="659">
        <f t="shared" si="5"/>
        <v>17.945</v>
      </c>
      <c r="AG18">
        <v>11.86</v>
      </c>
      <c r="AH18">
        <v>15.96</v>
      </c>
      <c r="AI18" s="659">
        <f t="shared" si="6"/>
        <v>13.91</v>
      </c>
      <c r="AJ18">
        <v>10.42</v>
      </c>
      <c r="AK18">
        <v>14.03</v>
      </c>
      <c r="AL18" s="659">
        <f t="shared" si="7"/>
        <v>12.225</v>
      </c>
      <c r="AM18">
        <v>13.33</v>
      </c>
      <c r="AN18">
        <v>16.45</v>
      </c>
      <c r="AO18" s="659">
        <f t="shared" si="8"/>
        <v>14.89</v>
      </c>
      <c r="AP18">
        <v>11.85</v>
      </c>
      <c r="AQ18">
        <v>14.62</v>
      </c>
      <c r="AR18" s="659">
        <f t="shared" si="9"/>
        <v>13.234999999999999</v>
      </c>
      <c r="AS18">
        <v>16.79</v>
      </c>
      <c r="AT18">
        <v>19.760000000000002</v>
      </c>
      <c r="AU18" s="659">
        <f t="shared" si="10"/>
        <v>18.274999999999999</v>
      </c>
      <c r="AV18">
        <v>14.69</v>
      </c>
      <c r="AW18">
        <v>17.29</v>
      </c>
      <c r="AX18" s="659">
        <f t="shared" si="11"/>
        <v>15.989999999999998</v>
      </c>
      <c r="AY18">
        <v>13.06</v>
      </c>
      <c r="AZ18">
        <v>15.37</v>
      </c>
      <c r="BA18" s="659">
        <f t="shared" si="12"/>
        <v>14.215</v>
      </c>
      <c r="BB18">
        <v>16.79</v>
      </c>
      <c r="BC18">
        <v>19.760000000000002</v>
      </c>
      <c r="BD18" s="659">
        <f t="shared" si="13"/>
        <v>18.274999999999999</v>
      </c>
      <c r="BE18">
        <v>14.69</v>
      </c>
      <c r="BF18">
        <v>17.29</v>
      </c>
      <c r="BG18" s="659">
        <f t="shared" si="14"/>
        <v>15.989999999999998</v>
      </c>
      <c r="BH18">
        <v>13.06</v>
      </c>
      <c r="BI18">
        <v>15.37</v>
      </c>
      <c r="BJ18" s="659">
        <f t="shared" si="15"/>
        <v>14.215</v>
      </c>
      <c r="BK18">
        <v>14.51</v>
      </c>
      <c r="BL18">
        <v>17.079999999999998</v>
      </c>
      <c r="BM18" s="659">
        <f t="shared" si="16"/>
        <v>15.794999999999998</v>
      </c>
      <c r="BN18">
        <v>16.98</v>
      </c>
      <c r="BO18">
        <v>17.96</v>
      </c>
      <c r="BP18" s="659">
        <f t="shared" si="17"/>
        <v>17.47</v>
      </c>
      <c r="BQ18">
        <v>15.09</v>
      </c>
      <c r="BR18">
        <v>15.96</v>
      </c>
      <c r="BS18" s="659">
        <f t="shared" si="18"/>
        <v>15.525</v>
      </c>
      <c r="BT18">
        <v>13.58</v>
      </c>
      <c r="BU18">
        <v>14.36</v>
      </c>
      <c r="BV18" s="659">
        <f t="shared" si="19"/>
        <v>13.969999999999999</v>
      </c>
      <c r="BW18">
        <v>25.55</v>
      </c>
      <c r="BX18">
        <v>45.5</v>
      </c>
      <c r="BY18" s="659">
        <f t="shared" si="20"/>
        <v>35.524999999999999</v>
      </c>
      <c r="BZ18">
        <v>21.29</v>
      </c>
      <c r="CA18">
        <v>37.92</v>
      </c>
      <c r="CB18" s="659">
        <f t="shared" si="21"/>
        <v>29.605</v>
      </c>
      <c r="CC18">
        <v>22.01</v>
      </c>
      <c r="CD18">
        <v>24.1</v>
      </c>
      <c r="CE18" s="659">
        <f t="shared" si="22"/>
        <v>23.055</v>
      </c>
      <c r="CF18">
        <v>19.809999999999999</v>
      </c>
      <c r="CG18">
        <v>21.7</v>
      </c>
      <c r="CH18" s="659">
        <f t="shared" si="23"/>
        <v>20.754999999999999</v>
      </c>
    </row>
    <row r="19" spans="1:86">
      <c r="A19">
        <v>135</v>
      </c>
      <c r="B19">
        <v>135</v>
      </c>
      <c r="C19">
        <v>135</v>
      </c>
      <c r="D19">
        <v>155</v>
      </c>
      <c r="E19">
        <v>195</v>
      </c>
      <c r="F19">
        <v>210</v>
      </c>
      <c r="G19">
        <v>250</v>
      </c>
      <c r="H19">
        <v>250</v>
      </c>
      <c r="I19">
        <v>440</v>
      </c>
      <c r="J19">
        <v>145</v>
      </c>
      <c r="K19">
        <v>195</v>
      </c>
      <c r="L19">
        <v>195</v>
      </c>
      <c r="M19">
        <v>195</v>
      </c>
      <c r="O19" s="656">
        <v>27.75</v>
      </c>
      <c r="P19" s="458">
        <v>34.880000000000003</v>
      </c>
      <c r="Q19" s="221">
        <f t="shared" si="0"/>
        <v>31.315000000000001</v>
      </c>
      <c r="R19" s="656">
        <v>27.75</v>
      </c>
      <c r="S19" s="458">
        <v>34.880000000000003</v>
      </c>
      <c r="T19" s="458">
        <f t="shared" si="1"/>
        <v>31.315000000000001</v>
      </c>
      <c r="U19" s="657">
        <v>22.73</v>
      </c>
      <c r="V19" s="458">
        <v>31.12</v>
      </c>
      <c r="W19" s="221">
        <f t="shared" si="2"/>
        <v>26.925000000000001</v>
      </c>
      <c r="X19" s="458">
        <v>20.75</v>
      </c>
      <c r="Y19" s="458">
        <v>28.41</v>
      </c>
      <c r="Z19" s="659">
        <f t="shared" si="3"/>
        <v>24.58</v>
      </c>
      <c r="AA19">
        <v>21.61</v>
      </c>
      <c r="AB19">
        <v>29.95</v>
      </c>
      <c r="AC19" s="659">
        <f t="shared" si="4"/>
        <v>25.78</v>
      </c>
      <c r="AD19">
        <v>18.52</v>
      </c>
      <c r="AE19">
        <v>25.68</v>
      </c>
      <c r="AF19" s="659">
        <f t="shared" si="5"/>
        <v>22.1</v>
      </c>
      <c r="AG19">
        <v>15.85</v>
      </c>
      <c r="AH19">
        <v>21.01</v>
      </c>
      <c r="AI19" s="659">
        <f t="shared" si="6"/>
        <v>18.43</v>
      </c>
      <c r="AJ19">
        <v>13.93</v>
      </c>
      <c r="AK19">
        <v>18.47</v>
      </c>
      <c r="AL19" s="659">
        <f t="shared" si="7"/>
        <v>16.2</v>
      </c>
      <c r="AM19">
        <v>12.39</v>
      </c>
      <c r="AN19">
        <v>14.95</v>
      </c>
      <c r="AO19" s="659">
        <f t="shared" si="8"/>
        <v>13.67</v>
      </c>
      <c r="AP19">
        <v>11.01</v>
      </c>
      <c r="AQ19">
        <v>13.29</v>
      </c>
      <c r="AR19" s="659">
        <f t="shared" si="9"/>
        <v>12.149999999999999</v>
      </c>
      <c r="AS19">
        <v>15.68</v>
      </c>
      <c r="AT19">
        <v>18.079999999999998</v>
      </c>
      <c r="AU19" s="659">
        <f t="shared" si="10"/>
        <v>16.88</v>
      </c>
      <c r="AV19">
        <v>13.72</v>
      </c>
      <c r="AW19">
        <v>15.82</v>
      </c>
      <c r="AX19" s="659">
        <f t="shared" si="11"/>
        <v>14.77</v>
      </c>
      <c r="AY19">
        <v>12.2</v>
      </c>
      <c r="AZ19">
        <v>14.06</v>
      </c>
      <c r="BA19" s="659">
        <f t="shared" si="12"/>
        <v>13.129999999999999</v>
      </c>
      <c r="BB19">
        <v>15.68</v>
      </c>
      <c r="BC19">
        <v>18.079999999999998</v>
      </c>
      <c r="BD19" s="659">
        <f t="shared" si="13"/>
        <v>16.88</v>
      </c>
      <c r="BE19">
        <v>13.72</v>
      </c>
      <c r="BF19">
        <v>15.82</v>
      </c>
      <c r="BG19" s="659">
        <f t="shared" si="14"/>
        <v>14.77</v>
      </c>
      <c r="BH19">
        <v>12.2</v>
      </c>
      <c r="BI19">
        <v>14.06</v>
      </c>
      <c r="BJ19" s="659">
        <f t="shared" si="15"/>
        <v>13.129999999999999</v>
      </c>
      <c r="BK19">
        <v>13.56</v>
      </c>
      <c r="BL19">
        <v>15.62</v>
      </c>
      <c r="BM19" s="659">
        <f t="shared" si="16"/>
        <v>14.59</v>
      </c>
      <c r="BN19">
        <v>16.309999999999999</v>
      </c>
      <c r="BO19">
        <v>17.13</v>
      </c>
      <c r="BP19" s="659">
        <f t="shared" si="17"/>
        <v>16.72</v>
      </c>
      <c r="BQ19">
        <v>14.49</v>
      </c>
      <c r="BR19">
        <v>15.22</v>
      </c>
      <c r="BS19" s="659">
        <f t="shared" si="18"/>
        <v>14.855</v>
      </c>
      <c r="BT19">
        <v>13.04</v>
      </c>
      <c r="BU19">
        <v>13.7</v>
      </c>
      <c r="BV19" s="659">
        <f t="shared" si="19"/>
        <v>13.37</v>
      </c>
      <c r="BW19">
        <v>23.69</v>
      </c>
      <c r="BX19">
        <v>40.28</v>
      </c>
      <c r="BY19" s="659">
        <f t="shared" si="20"/>
        <v>31.984999999999999</v>
      </c>
      <c r="BZ19">
        <v>19.75</v>
      </c>
      <c r="CA19">
        <v>33.58</v>
      </c>
      <c r="CB19" s="659">
        <f t="shared" si="21"/>
        <v>26.664999999999999</v>
      </c>
      <c r="CC19">
        <v>20.39</v>
      </c>
      <c r="CD19">
        <v>22.4</v>
      </c>
      <c r="CE19" s="659">
        <f t="shared" si="22"/>
        <v>21.395</v>
      </c>
      <c r="CF19">
        <v>18.350000000000001</v>
      </c>
      <c r="CG19">
        <v>20.16</v>
      </c>
      <c r="CH19" s="659">
        <f t="shared" si="23"/>
        <v>19.255000000000003</v>
      </c>
    </row>
    <row r="20" spans="1:86">
      <c r="A20">
        <v>140</v>
      </c>
      <c r="B20">
        <v>140</v>
      </c>
      <c r="C20">
        <v>140</v>
      </c>
      <c r="D20">
        <v>160</v>
      </c>
      <c r="E20">
        <v>200</v>
      </c>
      <c r="F20">
        <v>215</v>
      </c>
      <c r="G20">
        <v>255</v>
      </c>
      <c r="H20">
        <v>255</v>
      </c>
      <c r="I20">
        <v>450</v>
      </c>
      <c r="J20">
        <v>150</v>
      </c>
      <c r="K20">
        <v>200</v>
      </c>
      <c r="L20">
        <v>200</v>
      </c>
      <c r="M20">
        <v>200</v>
      </c>
      <c r="O20" s="656">
        <v>25.77</v>
      </c>
      <c r="P20" s="458">
        <v>32.07</v>
      </c>
      <c r="Q20" s="221">
        <f t="shared" si="0"/>
        <v>28.92</v>
      </c>
      <c r="R20" s="656">
        <v>25.77</v>
      </c>
      <c r="S20" s="458">
        <v>32.07</v>
      </c>
      <c r="T20" s="458">
        <f t="shared" si="1"/>
        <v>28.92</v>
      </c>
      <c r="U20" s="657">
        <v>21.05</v>
      </c>
      <c r="V20" s="458">
        <v>28.41</v>
      </c>
      <c r="W20" s="221">
        <f t="shared" si="2"/>
        <v>24.73</v>
      </c>
      <c r="X20" s="458">
        <v>19.22</v>
      </c>
      <c r="Y20" s="458">
        <v>25.94</v>
      </c>
      <c r="Z20" s="659">
        <f t="shared" si="3"/>
        <v>22.58</v>
      </c>
      <c r="AA20">
        <v>20.170000000000002</v>
      </c>
      <c r="AB20">
        <v>27.45</v>
      </c>
      <c r="AC20" s="659">
        <f t="shared" si="4"/>
        <v>23.810000000000002</v>
      </c>
      <c r="AD20">
        <v>17.29</v>
      </c>
      <c r="AE20">
        <v>23.52</v>
      </c>
      <c r="AF20" s="659">
        <f t="shared" si="5"/>
        <v>20.405000000000001</v>
      </c>
      <c r="AG20">
        <v>14.99</v>
      </c>
      <c r="AH20">
        <v>19.62</v>
      </c>
      <c r="AI20" s="659">
        <f t="shared" si="6"/>
        <v>17.305</v>
      </c>
      <c r="AJ20">
        <v>13.17</v>
      </c>
      <c r="AK20">
        <v>17.239999999999998</v>
      </c>
      <c r="AL20" s="659">
        <f t="shared" si="7"/>
        <v>15.204999999999998</v>
      </c>
      <c r="AM20">
        <v>15.35</v>
      </c>
      <c r="AN20">
        <v>14.01</v>
      </c>
      <c r="AO20" s="659">
        <f t="shared" si="8"/>
        <v>14.68</v>
      </c>
      <c r="AP20">
        <v>13.64</v>
      </c>
      <c r="AQ20">
        <v>12.46</v>
      </c>
      <c r="AR20" s="659">
        <f t="shared" si="9"/>
        <v>13.05</v>
      </c>
      <c r="AS20">
        <v>16.61</v>
      </c>
      <c r="AT20">
        <v>20.190000000000001</v>
      </c>
      <c r="AU20" s="659">
        <f t="shared" si="10"/>
        <v>18.399999999999999</v>
      </c>
      <c r="AV20">
        <v>14.53</v>
      </c>
      <c r="AW20">
        <v>17.670000000000002</v>
      </c>
      <c r="AX20" s="659">
        <f t="shared" si="11"/>
        <v>16.100000000000001</v>
      </c>
      <c r="AY20">
        <v>12.91</v>
      </c>
      <c r="AZ20">
        <v>15.71</v>
      </c>
      <c r="BA20" s="659">
        <f t="shared" si="12"/>
        <v>14.31</v>
      </c>
      <c r="BB20">
        <v>16.61</v>
      </c>
      <c r="BC20">
        <v>20.190000000000001</v>
      </c>
      <c r="BD20" s="659">
        <f t="shared" si="13"/>
        <v>18.399999999999999</v>
      </c>
      <c r="BE20">
        <v>14.53</v>
      </c>
      <c r="BF20">
        <v>17.670000000000002</v>
      </c>
      <c r="BG20" s="659">
        <f t="shared" si="14"/>
        <v>16.100000000000001</v>
      </c>
      <c r="BH20">
        <v>12.91</v>
      </c>
      <c r="BI20">
        <v>15.71</v>
      </c>
      <c r="BJ20" s="659">
        <f t="shared" si="15"/>
        <v>14.31</v>
      </c>
      <c r="BK20">
        <v>14.34</v>
      </c>
      <c r="BL20">
        <v>17.46</v>
      </c>
      <c r="BM20" s="659">
        <f t="shared" si="16"/>
        <v>15.9</v>
      </c>
      <c r="BN20">
        <v>15.42</v>
      </c>
      <c r="BO20">
        <v>15.67</v>
      </c>
      <c r="BP20" s="659">
        <f t="shared" si="17"/>
        <v>15.545</v>
      </c>
      <c r="BQ20">
        <v>13.65</v>
      </c>
      <c r="BR20">
        <v>13.87</v>
      </c>
      <c r="BS20" s="659">
        <f t="shared" si="18"/>
        <v>13.76</v>
      </c>
      <c r="BT20">
        <v>12.23</v>
      </c>
      <c r="BU20">
        <v>12.42</v>
      </c>
      <c r="BV20" s="659">
        <f t="shared" si="19"/>
        <v>12.324999999999999</v>
      </c>
      <c r="BW20">
        <v>21.63</v>
      </c>
      <c r="BX20">
        <v>35.380000000000003</v>
      </c>
      <c r="BY20" s="659">
        <f t="shared" si="20"/>
        <v>28.505000000000003</v>
      </c>
      <c r="BZ20">
        <v>18.04</v>
      </c>
      <c r="CA20">
        <v>29.48</v>
      </c>
      <c r="CB20" s="659">
        <f t="shared" si="21"/>
        <v>23.759999999999998</v>
      </c>
      <c r="CC20">
        <v>25.04</v>
      </c>
      <c r="CD20">
        <v>27.08</v>
      </c>
      <c r="CE20" s="659">
        <f t="shared" si="22"/>
        <v>26.06</v>
      </c>
      <c r="CF20">
        <v>22.53</v>
      </c>
      <c r="CG20">
        <v>24.37</v>
      </c>
      <c r="CH20" s="659">
        <f t="shared" si="23"/>
        <v>23.450000000000003</v>
      </c>
    </row>
    <row r="21" spans="1:86">
      <c r="A21">
        <v>145</v>
      </c>
      <c r="B21">
        <v>145</v>
      </c>
      <c r="C21">
        <v>145</v>
      </c>
      <c r="D21">
        <v>165</v>
      </c>
      <c r="E21">
        <v>205</v>
      </c>
      <c r="F21">
        <v>220</v>
      </c>
      <c r="G21">
        <v>260</v>
      </c>
      <c r="H21">
        <v>260</v>
      </c>
      <c r="I21">
        <v>460</v>
      </c>
      <c r="J21">
        <v>155</v>
      </c>
      <c r="K21">
        <v>205</v>
      </c>
      <c r="L21">
        <v>205</v>
      </c>
      <c r="M21">
        <v>205</v>
      </c>
      <c r="O21" s="656">
        <v>23.93</v>
      </c>
      <c r="P21" s="458">
        <v>29.53</v>
      </c>
      <c r="Q21" s="221">
        <f t="shared" si="0"/>
        <v>26.73</v>
      </c>
      <c r="R21" s="656">
        <v>23.93</v>
      </c>
      <c r="S21" s="458">
        <v>29.53</v>
      </c>
      <c r="T21" s="458">
        <f t="shared" si="1"/>
        <v>26.73</v>
      </c>
      <c r="U21" s="657">
        <v>19.52</v>
      </c>
      <c r="V21" s="458">
        <v>26</v>
      </c>
      <c r="W21" s="221">
        <f t="shared" si="2"/>
        <v>22.759999999999998</v>
      </c>
      <c r="X21" s="458">
        <v>17.82</v>
      </c>
      <c r="Y21" s="458">
        <v>23.74</v>
      </c>
      <c r="Z21" s="659">
        <f t="shared" si="3"/>
        <v>20.78</v>
      </c>
      <c r="AA21">
        <v>18.850000000000001</v>
      </c>
      <c r="AB21">
        <v>25.24</v>
      </c>
      <c r="AC21" s="659">
        <f t="shared" si="4"/>
        <v>22.045000000000002</v>
      </c>
      <c r="AD21">
        <v>16.16</v>
      </c>
      <c r="AE21">
        <v>21.64</v>
      </c>
      <c r="AF21" s="659">
        <f t="shared" si="5"/>
        <v>18.899999999999999</v>
      </c>
      <c r="AG21">
        <v>14.19</v>
      </c>
      <c r="AH21">
        <v>18.36</v>
      </c>
      <c r="AI21" s="659">
        <f t="shared" si="6"/>
        <v>16.274999999999999</v>
      </c>
      <c r="AJ21">
        <v>12.47</v>
      </c>
      <c r="AK21">
        <v>16.13</v>
      </c>
      <c r="AL21" s="659">
        <f t="shared" si="7"/>
        <v>14.3</v>
      </c>
      <c r="AM21">
        <v>14.32</v>
      </c>
      <c r="AN21">
        <v>13.2</v>
      </c>
      <c r="AO21" s="659">
        <f t="shared" si="8"/>
        <v>13.76</v>
      </c>
      <c r="AP21">
        <v>12.73</v>
      </c>
      <c r="AQ21">
        <v>11.73</v>
      </c>
      <c r="AR21" s="659">
        <f t="shared" si="9"/>
        <v>12.23</v>
      </c>
      <c r="AS21">
        <v>15.57</v>
      </c>
      <c r="AT21">
        <v>18.64</v>
      </c>
      <c r="AU21" s="659">
        <f t="shared" si="10"/>
        <v>17.105</v>
      </c>
      <c r="AV21">
        <v>13.62</v>
      </c>
      <c r="AW21">
        <v>16.309999999999999</v>
      </c>
      <c r="AX21" s="659">
        <f t="shared" si="11"/>
        <v>14.965</v>
      </c>
      <c r="AY21">
        <v>12.11</v>
      </c>
      <c r="AZ21">
        <v>14.5</v>
      </c>
      <c r="BA21" s="659">
        <f t="shared" si="12"/>
        <v>13.305</v>
      </c>
      <c r="BB21">
        <v>15.57</v>
      </c>
      <c r="BC21">
        <v>18.64</v>
      </c>
      <c r="BD21" s="659">
        <f t="shared" si="13"/>
        <v>17.105</v>
      </c>
      <c r="BE21">
        <v>13.62</v>
      </c>
      <c r="BF21">
        <v>16.309999999999999</v>
      </c>
      <c r="BG21" s="659">
        <f t="shared" si="14"/>
        <v>14.965</v>
      </c>
      <c r="BH21">
        <v>12.11</v>
      </c>
      <c r="BI21">
        <v>14.5</v>
      </c>
      <c r="BJ21" s="659">
        <f t="shared" si="15"/>
        <v>13.305</v>
      </c>
      <c r="BK21">
        <v>13.46</v>
      </c>
      <c r="BL21">
        <v>16.11</v>
      </c>
      <c r="BM21" s="659">
        <f t="shared" si="16"/>
        <v>14.785</v>
      </c>
      <c r="BN21">
        <v>14.79</v>
      </c>
      <c r="BO21">
        <v>14.97</v>
      </c>
      <c r="BP21" s="659">
        <f t="shared" si="17"/>
        <v>14.879999999999999</v>
      </c>
      <c r="BQ21">
        <v>13.09</v>
      </c>
      <c r="BR21">
        <v>13.24</v>
      </c>
      <c r="BS21" s="659">
        <f t="shared" si="18"/>
        <v>13.164999999999999</v>
      </c>
      <c r="BT21">
        <v>11.73</v>
      </c>
      <c r="BU21">
        <v>11.86</v>
      </c>
      <c r="BV21" s="659">
        <f t="shared" si="19"/>
        <v>11.795</v>
      </c>
      <c r="BW21">
        <v>27.22</v>
      </c>
      <c r="BX21">
        <v>42.49</v>
      </c>
      <c r="BY21" s="659">
        <f t="shared" si="20"/>
        <v>34.855000000000004</v>
      </c>
      <c r="BZ21">
        <v>22.69</v>
      </c>
      <c r="CA21">
        <v>35.409999999999997</v>
      </c>
      <c r="CB21" s="659">
        <f t="shared" si="21"/>
        <v>29.049999999999997</v>
      </c>
      <c r="CC21">
        <v>23.29</v>
      </c>
      <c r="CD21">
        <v>26.75</v>
      </c>
      <c r="CE21" s="659">
        <f t="shared" si="22"/>
        <v>25.02</v>
      </c>
      <c r="CF21">
        <v>20.96</v>
      </c>
      <c r="CG21">
        <v>24.08</v>
      </c>
      <c r="CH21" s="659">
        <f t="shared" si="23"/>
        <v>22.52</v>
      </c>
    </row>
    <row r="22" spans="1:86">
      <c r="A22">
        <v>150</v>
      </c>
      <c r="B22">
        <v>150</v>
      </c>
      <c r="C22">
        <v>150</v>
      </c>
      <c r="D22">
        <v>170</v>
      </c>
      <c r="E22">
        <v>210</v>
      </c>
      <c r="F22">
        <v>225</v>
      </c>
      <c r="G22">
        <v>265</v>
      </c>
      <c r="H22">
        <v>265</v>
      </c>
      <c r="I22">
        <v>470</v>
      </c>
      <c r="J22">
        <v>160</v>
      </c>
      <c r="K22">
        <v>210</v>
      </c>
      <c r="L22">
        <v>210</v>
      </c>
      <c r="M22">
        <v>210</v>
      </c>
      <c r="O22" s="656">
        <v>21.99</v>
      </c>
      <c r="P22" s="458">
        <v>26.95</v>
      </c>
      <c r="Q22" s="221">
        <f t="shared" si="0"/>
        <v>24.47</v>
      </c>
      <c r="R22" s="656">
        <v>21.99</v>
      </c>
      <c r="S22" s="458">
        <v>26.95</v>
      </c>
      <c r="T22" s="458">
        <f t="shared" si="1"/>
        <v>24.47</v>
      </c>
      <c r="U22" s="657">
        <v>17.86</v>
      </c>
      <c r="V22" s="458">
        <v>23.57</v>
      </c>
      <c r="W22" s="221">
        <f t="shared" si="2"/>
        <v>20.715</v>
      </c>
      <c r="X22" s="458">
        <v>16.309999999999999</v>
      </c>
      <c r="Y22" s="458">
        <v>21.52</v>
      </c>
      <c r="Z22" s="659">
        <f t="shared" si="3"/>
        <v>18.914999999999999</v>
      </c>
      <c r="AA22">
        <v>17.420000000000002</v>
      </c>
      <c r="AB22">
        <v>23.01</v>
      </c>
      <c r="AC22" s="659">
        <f t="shared" si="4"/>
        <v>20.215000000000003</v>
      </c>
      <c r="AD22">
        <v>14.93</v>
      </c>
      <c r="AE22">
        <v>19.72</v>
      </c>
      <c r="AF22" s="659">
        <f t="shared" si="5"/>
        <v>17.324999999999999</v>
      </c>
      <c r="AG22">
        <v>13.3</v>
      </c>
      <c r="AH22">
        <v>17.02</v>
      </c>
      <c r="AI22" s="659">
        <f t="shared" si="6"/>
        <v>15.16</v>
      </c>
      <c r="AJ22">
        <v>11.69</v>
      </c>
      <c r="AK22">
        <v>14.96</v>
      </c>
      <c r="AL22" s="659">
        <f t="shared" si="7"/>
        <v>13.324999999999999</v>
      </c>
      <c r="AM22">
        <v>13.39</v>
      </c>
      <c r="AN22">
        <v>12.48</v>
      </c>
      <c r="AO22" s="659">
        <f t="shared" si="8"/>
        <v>12.935</v>
      </c>
      <c r="AP22">
        <v>11.9</v>
      </c>
      <c r="AQ22">
        <v>11.09</v>
      </c>
      <c r="AR22" s="659">
        <f t="shared" si="9"/>
        <v>11.495000000000001</v>
      </c>
      <c r="AS22">
        <v>14.61</v>
      </c>
      <c r="AT22">
        <v>17.21</v>
      </c>
      <c r="AU22" s="659">
        <f t="shared" si="10"/>
        <v>15.91</v>
      </c>
      <c r="AV22">
        <v>12.78</v>
      </c>
      <c r="AW22">
        <v>15.06</v>
      </c>
      <c r="AX22" s="659">
        <f t="shared" si="11"/>
        <v>13.92</v>
      </c>
      <c r="AY22">
        <v>11.36</v>
      </c>
      <c r="AZ22">
        <v>13.39</v>
      </c>
      <c r="BA22" s="659">
        <f t="shared" si="12"/>
        <v>12.375</v>
      </c>
      <c r="BB22">
        <v>14.61</v>
      </c>
      <c r="BC22">
        <v>17.21</v>
      </c>
      <c r="BD22" s="659">
        <f t="shared" si="13"/>
        <v>15.91</v>
      </c>
      <c r="BE22">
        <v>12.78</v>
      </c>
      <c r="BF22">
        <v>15.06</v>
      </c>
      <c r="BG22" s="659">
        <f t="shared" si="14"/>
        <v>13.92</v>
      </c>
      <c r="BH22">
        <v>11.36</v>
      </c>
      <c r="BI22">
        <v>13.39</v>
      </c>
      <c r="BJ22" s="659">
        <f t="shared" si="15"/>
        <v>12.375</v>
      </c>
      <c r="BK22">
        <v>12.62</v>
      </c>
      <c r="BL22">
        <v>14.88</v>
      </c>
      <c r="BM22" s="659">
        <f t="shared" si="16"/>
        <v>13.75</v>
      </c>
      <c r="BN22">
        <v>14.21</v>
      </c>
      <c r="BO22">
        <v>14.34</v>
      </c>
      <c r="BP22" s="659">
        <f t="shared" si="17"/>
        <v>14.275</v>
      </c>
      <c r="BQ22">
        <v>12.57</v>
      </c>
      <c r="BR22">
        <v>12.68</v>
      </c>
      <c r="BS22" s="659">
        <f t="shared" si="18"/>
        <v>12.625</v>
      </c>
      <c r="BT22">
        <v>11.26</v>
      </c>
      <c r="BU22">
        <v>11.35</v>
      </c>
      <c r="BV22" s="659">
        <f t="shared" si="19"/>
        <v>11.305</v>
      </c>
      <c r="BW22">
        <v>25.4</v>
      </c>
      <c r="BX22">
        <v>38.450000000000003</v>
      </c>
      <c r="BY22" s="659">
        <f t="shared" si="20"/>
        <v>31.925000000000001</v>
      </c>
      <c r="BZ22">
        <v>21.18</v>
      </c>
      <c r="CA22">
        <v>32.04</v>
      </c>
      <c r="CB22" s="659">
        <f t="shared" si="21"/>
        <v>26.61</v>
      </c>
      <c r="CC22">
        <v>21.68</v>
      </c>
      <c r="CD22">
        <v>23.77</v>
      </c>
      <c r="CE22" s="659">
        <f t="shared" si="22"/>
        <v>22.725000000000001</v>
      </c>
      <c r="CF22">
        <v>19.510000000000002</v>
      </c>
      <c r="CG22">
        <v>21.4</v>
      </c>
      <c r="CH22" s="659">
        <f t="shared" si="23"/>
        <v>20.454999999999998</v>
      </c>
    </row>
    <row r="23" spans="1:86">
      <c r="A23">
        <v>155</v>
      </c>
      <c r="B23">
        <v>155</v>
      </c>
      <c r="C23">
        <v>155</v>
      </c>
      <c r="D23">
        <v>175</v>
      </c>
      <c r="E23">
        <v>215</v>
      </c>
      <c r="F23">
        <v>230</v>
      </c>
      <c r="G23">
        <v>270</v>
      </c>
      <c r="H23">
        <v>270</v>
      </c>
      <c r="I23">
        <v>480</v>
      </c>
      <c r="J23">
        <v>165</v>
      </c>
      <c r="K23">
        <v>215</v>
      </c>
      <c r="L23">
        <v>215</v>
      </c>
      <c r="M23">
        <v>215</v>
      </c>
      <c r="O23" s="656">
        <v>21.52</v>
      </c>
      <c r="P23" s="458">
        <v>21.85</v>
      </c>
      <c r="Q23" s="221">
        <f t="shared" si="0"/>
        <v>21.685000000000002</v>
      </c>
      <c r="R23" s="656">
        <v>21.52</v>
      </c>
      <c r="S23" s="458">
        <v>21.85</v>
      </c>
      <c r="T23" s="458">
        <f t="shared" si="1"/>
        <v>21.685000000000002</v>
      </c>
      <c r="U23" s="657">
        <v>24.51</v>
      </c>
      <c r="V23" s="458">
        <v>30.83</v>
      </c>
      <c r="W23" s="221">
        <f t="shared" si="2"/>
        <v>27.67</v>
      </c>
      <c r="X23" s="458">
        <v>22.38</v>
      </c>
      <c r="Y23" s="458">
        <v>28.15</v>
      </c>
      <c r="Z23" s="659">
        <f t="shared" si="3"/>
        <v>25.265000000000001</v>
      </c>
      <c r="AA23">
        <v>16.34</v>
      </c>
      <c r="AB23">
        <v>21.39</v>
      </c>
      <c r="AC23" s="659">
        <f t="shared" si="4"/>
        <v>18.865000000000002</v>
      </c>
      <c r="AD23">
        <v>14.01</v>
      </c>
      <c r="AE23">
        <v>18.329999999999998</v>
      </c>
      <c r="AF23" s="659">
        <f t="shared" si="5"/>
        <v>16.169999999999998</v>
      </c>
      <c r="AG23">
        <v>13.07</v>
      </c>
      <c r="AH23">
        <v>16.54</v>
      </c>
      <c r="AI23" s="659">
        <f t="shared" si="6"/>
        <v>14.805</v>
      </c>
      <c r="AJ23">
        <v>11.49</v>
      </c>
      <c r="AK23">
        <v>14.53</v>
      </c>
      <c r="AL23" s="659">
        <f t="shared" si="7"/>
        <v>13.01</v>
      </c>
      <c r="AM23">
        <v>12.51</v>
      </c>
      <c r="AN23">
        <v>11.8</v>
      </c>
      <c r="AO23" s="659">
        <f t="shared" si="8"/>
        <v>12.155000000000001</v>
      </c>
      <c r="AP23">
        <v>11.12</v>
      </c>
      <c r="AQ23">
        <v>10.49</v>
      </c>
      <c r="AR23" s="659">
        <f t="shared" si="9"/>
        <v>10.805</v>
      </c>
      <c r="AS23">
        <v>13.69</v>
      </c>
      <c r="AT23">
        <v>15.91</v>
      </c>
      <c r="AU23" s="659">
        <f t="shared" si="10"/>
        <v>14.8</v>
      </c>
      <c r="AV23">
        <v>11.98</v>
      </c>
      <c r="AW23">
        <v>13.92</v>
      </c>
      <c r="AX23" s="659">
        <f t="shared" si="11"/>
        <v>12.95</v>
      </c>
      <c r="AY23">
        <v>10.65</v>
      </c>
      <c r="AZ23">
        <v>12.37</v>
      </c>
      <c r="BA23" s="659">
        <f t="shared" si="12"/>
        <v>11.51</v>
      </c>
      <c r="BB23">
        <v>13.69</v>
      </c>
      <c r="BC23">
        <v>15.91</v>
      </c>
      <c r="BD23" s="659">
        <f t="shared" si="13"/>
        <v>14.8</v>
      </c>
      <c r="BE23">
        <v>11.98</v>
      </c>
      <c r="BF23">
        <v>13.92</v>
      </c>
      <c r="BG23" s="659">
        <f t="shared" si="14"/>
        <v>12.95</v>
      </c>
      <c r="BH23">
        <v>10.65</v>
      </c>
      <c r="BI23">
        <v>12.37</v>
      </c>
      <c r="BJ23" s="659">
        <f t="shared" si="15"/>
        <v>11.51</v>
      </c>
      <c r="BK23">
        <v>11.83</v>
      </c>
      <c r="BL23">
        <v>13.74</v>
      </c>
      <c r="BM23" s="659">
        <f t="shared" si="16"/>
        <v>12.785</v>
      </c>
      <c r="BN23">
        <v>13.65</v>
      </c>
      <c r="BO23">
        <v>13.73</v>
      </c>
      <c r="BP23" s="659">
        <f t="shared" si="17"/>
        <v>13.690000000000001</v>
      </c>
      <c r="BQ23">
        <v>12.08</v>
      </c>
      <c r="BR23">
        <v>12.14</v>
      </c>
      <c r="BS23" s="659">
        <f t="shared" si="18"/>
        <v>12.11</v>
      </c>
      <c r="BT23">
        <v>10.82</v>
      </c>
      <c r="BU23">
        <v>11.82</v>
      </c>
      <c r="BV23" s="659">
        <f t="shared" si="19"/>
        <v>11.32</v>
      </c>
      <c r="BW23">
        <v>23.75</v>
      </c>
      <c r="BX23">
        <v>34.99</v>
      </c>
      <c r="BY23" s="659">
        <f t="shared" si="20"/>
        <v>29.37</v>
      </c>
      <c r="BZ23">
        <v>19.8</v>
      </c>
      <c r="CA23">
        <v>29.16</v>
      </c>
      <c r="CB23" s="659">
        <f t="shared" si="21"/>
        <v>24.48</v>
      </c>
      <c r="CC23">
        <v>20.190000000000001</v>
      </c>
      <c r="CD23">
        <v>22.32</v>
      </c>
      <c r="CE23" s="659">
        <f t="shared" si="22"/>
        <v>21.255000000000003</v>
      </c>
      <c r="CF23">
        <v>18.170000000000002</v>
      </c>
      <c r="CG23">
        <v>20.09</v>
      </c>
      <c r="CH23" s="659">
        <f t="shared" si="23"/>
        <v>19.130000000000003</v>
      </c>
    </row>
    <row r="24" spans="1:86">
      <c r="A24">
        <v>160</v>
      </c>
      <c r="B24">
        <v>160</v>
      </c>
      <c r="C24">
        <v>160</v>
      </c>
      <c r="D24">
        <v>180</v>
      </c>
      <c r="E24">
        <v>220</v>
      </c>
      <c r="F24">
        <v>235</v>
      </c>
      <c r="G24">
        <v>275</v>
      </c>
      <c r="H24">
        <v>275</v>
      </c>
      <c r="I24">
        <v>490</v>
      </c>
      <c r="J24">
        <v>170</v>
      </c>
      <c r="K24">
        <v>220</v>
      </c>
      <c r="L24">
        <v>220</v>
      </c>
      <c r="M24">
        <v>220</v>
      </c>
      <c r="O24" s="656">
        <v>19.89</v>
      </c>
      <c r="P24" s="458">
        <v>20.260000000000002</v>
      </c>
      <c r="Q24" s="221">
        <f t="shared" si="0"/>
        <v>20.075000000000003</v>
      </c>
      <c r="R24" s="656">
        <v>19.89</v>
      </c>
      <c r="S24" s="458">
        <v>20.260000000000002</v>
      </c>
      <c r="T24" s="458">
        <f t="shared" si="1"/>
        <v>20.075000000000003</v>
      </c>
      <c r="U24" s="657">
        <v>22.9</v>
      </c>
      <c r="V24" s="458">
        <v>28.55</v>
      </c>
      <c r="W24" s="221">
        <f t="shared" si="2"/>
        <v>25.725000000000001</v>
      </c>
      <c r="X24" s="458">
        <v>20.91</v>
      </c>
      <c r="Y24" s="458">
        <v>26.06</v>
      </c>
      <c r="Z24" s="659">
        <f t="shared" si="3"/>
        <v>23.484999999999999</v>
      </c>
      <c r="AA24">
        <v>15.35</v>
      </c>
      <c r="AB24">
        <v>19.86</v>
      </c>
      <c r="AC24" s="659">
        <f t="shared" si="4"/>
        <v>17.605</v>
      </c>
      <c r="AD24">
        <v>13.16</v>
      </c>
      <c r="AE24">
        <v>17.02</v>
      </c>
      <c r="AF24" s="659">
        <f t="shared" si="5"/>
        <v>15.09</v>
      </c>
      <c r="AG24">
        <v>12.42</v>
      </c>
      <c r="AH24">
        <v>15.57</v>
      </c>
      <c r="AI24" s="659">
        <f t="shared" si="6"/>
        <v>13.995000000000001</v>
      </c>
      <c r="AJ24">
        <v>10.91</v>
      </c>
      <c r="AK24">
        <v>13.68</v>
      </c>
      <c r="AL24" s="659">
        <f t="shared" si="7"/>
        <v>12.295</v>
      </c>
      <c r="AM24">
        <v>19.09</v>
      </c>
      <c r="AN24">
        <v>14.85</v>
      </c>
      <c r="AO24" s="659">
        <f t="shared" si="8"/>
        <v>16.97</v>
      </c>
      <c r="AP24">
        <v>16.97</v>
      </c>
      <c r="AQ24">
        <v>13.2</v>
      </c>
      <c r="AR24" s="659">
        <f t="shared" si="9"/>
        <v>15.084999999999999</v>
      </c>
      <c r="AS24">
        <v>19.12</v>
      </c>
      <c r="AT24">
        <v>15.68</v>
      </c>
      <c r="AU24" s="659">
        <f t="shared" si="10"/>
        <v>17.399999999999999</v>
      </c>
      <c r="AV24">
        <v>16.73</v>
      </c>
      <c r="AW24">
        <v>13.72</v>
      </c>
      <c r="AX24" s="659">
        <f t="shared" si="11"/>
        <v>15.225000000000001</v>
      </c>
      <c r="AY24">
        <v>14.87</v>
      </c>
      <c r="AZ24">
        <v>12.19</v>
      </c>
      <c r="BA24" s="659">
        <f t="shared" si="12"/>
        <v>13.53</v>
      </c>
      <c r="BB24">
        <v>19.12</v>
      </c>
      <c r="BC24">
        <v>15.68</v>
      </c>
      <c r="BD24" s="659">
        <f t="shared" si="13"/>
        <v>17.399999999999999</v>
      </c>
      <c r="BE24">
        <v>16.73</v>
      </c>
      <c r="BF24">
        <v>13.72</v>
      </c>
      <c r="BG24" s="659">
        <f t="shared" si="14"/>
        <v>15.225000000000001</v>
      </c>
      <c r="BH24">
        <v>14.87</v>
      </c>
      <c r="BI24">
        <v>12.19</v>
      </c>
      <c r="BJ24" s="659">
        <f t="shared" si="15"/>
        <v>13.53</v>
      </c>
      <c r="BK24">
        <v>16.52</v>
      </c>
      <c r="BL24">
        <v>13.54</v>
      </c>
      <c r="BM24" s="659">
        <f t="shared" si="16"/>
        <v>15.03</v>
      </c>
      <c r="BN24">
        <v>13.17</v>
      </c>
      <c r="BO24">
        <v>13.21</v>
      </c>
      <c r="BP24" s="659">
        <f t="shared" si="17"/>
        <v>13.190000000000001</v>
      </c>
      <c r="BQ24">
        <v>11.65</v>
      </c>
      <c r="BR24">
        <v>11.68</v>
      </c>
      <c r="BS24" s="659">
        <f t="shared" si="18"/>
        <v>11.664999999999999</v>
      </c>
      <c r="BT24">
        <v>10.44</v>
      </c>
      <c r="BU24">
        <v>11.25</v>
      </c>
      <c r="BV24" s="659">
        <f t="shared" si="19"/>
        <v>10.844999999999999</v>
      </c>
      <c r="BW24">
        <v>21.97</v>
      </c>
      <c r="BX24">
        <v>31.61</v>
      </c>
      <c r="BY24" s="659">
        <f t="shared" si="20"/>
        <v>26.79</v>
      </c>
      <c r="BZ24">
        <v>18.3</v>
      </c>
      <c r="CA24">
        <v>26.35</v>
      </c>
      <c r="CB24" s="659">
        <f t="shared" si="21"/>
        <v>22.325000000000003</v>
      </c>
      <c r="CC24">
        <v>18.809999999999999</v>
      </c>
      <c r="CD24">
        <v>20.98</v>
      </c>
      <c r="CE24" s="659">
        <f t="shared" si="22"/>
        <v>19.895</v>
      </c>
      <c r="CF24">
        <v>16.93</v>
      </c>
      <c r="CG24">
        <v>18.88</v>
      </c>
      <c r="CH24" s="659">
        <f t="shared" si="23"/>
        <v>17.905000000000001</v>
      </c>
    </row>
    <row r="25" spans="1:86">
      <c r="A25">
        <v>165</v>
      </c>
      <c r="B25">
        <v>165</v>
      </c>
      <c r="C25">
        <v>165</v>
      </c>
      <c r="D25">
        <v>185</v>
      </c>
      <c r="E25">
        <v>225</v>
      </c>
      <c r="F25">
        <v>240</v>
      </c>
      <c r="G25">
        <v>280</v>
      </c>
      <c r="H25">
        <v>280</v>
      </c>
      <c r="I25">
        <v>500</v>
      </c>
      <c r="J25">
        <v>175</v>
      </c>
      <c r="K25">
        <v>225</v>
      </c>
      <c r="L25">
        <v>225</v>
      </c>
      <c r="M25">
        <v>225</v>
      </c>
      <c r="O25" s="656">
        <v>18.41</v>
      </c>
      <c r="P25" s="458">
        <v>18.850000000000001</v>
      </c>
      <c r="Q25" s="221">
        <f t="shared" si="0"/>
        <v>18.630000000000003</v>
      </c>
      <c r="R25" s="656">
        <v>18.41</v>
      </c>
      <c r="S25" s="458">
        <v>18.850000000000001</v>
      </c>
      <c r="T25" s="458">
        <f t="shared" si="1"/>
        <v>18.630000000000003</v>
      </c>
      <c r="U25" s="657">
        <v>21.44</v>
      </c>
      <c r="V25" s="458">
        <v>26.51</v>
      </c>
      <c r="W25" s="221">
        <f t="shared" si="2"/>
        <v>23.975000000000001</v>
      </c>
      <c r="X25" s="458">
        <v>19.579999999999998</v>
      </c>
      <c r="Y25" s="458">
        <v>24.2</v>
      </c>
      <c r="Z25" s="659">
        <f t="shared" si="3"/>
        <v>21.89</v>
      </c>
      <c r="AA25">
        <v>14.45</v>
      </c>
      <c r="AB25">
        <v>18.489999999999998</v>
      </c>
      <c r="AC25" s="659">
        <f t="shared" si="4"/>
        <v>16.47</v>
      </c>
      <c r="AD25">
        <v>12.38</v>
      </c>
      <c r="AE25">
        <v>15.85</v>
      </c>
      <c r="AF25" s="659">
        <f t="shared" si="5"/>
        <v>14.115</v>
      </c>
      <c r="AG25">
        <v>11.83</v>
      </c>
      <c r="AH25">
        <v>14.7</v>
      </c>
      <c r="AI25" s="659">
        <f t="shared" si="6"/>
        <v>13.265000000000001</v>
      </c>
      <c r="AJ25">
        <v>10.4</v>
      </c>
      <c r="AK25">
        <v>12.92</v>
      </c>
      <c r="AL25" s="659">
        <f t="shared" si="7"/>
        <v>11.66</v>
      </c>
      <c r="AM25">
        <v>17.88</v>
      </c>
      <c r="AN25">
        <v>13.73</v>
      </c>
      <c r="AO25" s="659">
        <f t="shared" si="8"/>
        <v>15.805</v>
      </c>
      <c r="AP25">
        <v>15.89</v>
      </c>
      <c r="AQ25">
        <v>12.2</v>
      </c>
      <c r="AR25" s="659">
        <f t="shared" si="9"/>
        <v>14.045</v>
      </c>
      <c r="AS25">
        <v>18.07</v>
      </c>
      <c r="AT25">
        <v>14.66</v>
      </c>
      <c r="AU25" s="659">
        <f t="shared" si="10"/>
        <v>16.365000000000002</v>
      </c>
      <c r="AV25">
        <v>15.81</v>
      </c>
      <c r="AW25">
        <v>12.83</v>
      </c>
      <c r="AX25" s="659">
        <f t="shared" si="11"/>
        <v>14.32</v>
      </c>
      <c r="AY25">
        <v>14.06</v>
      </c>
      <c r="AZ25">
        <v>11.41</v>
      </c>
      <c r="BA25" s="659">
        <f t="shared" si="12"/>
        <v>12.734999999999999</v>
      </c>
      <c r="BB25">
        <v>18.07</v>
      </c>
      <c r="BC25">
        <v>14.66</v>
      </c>
      <c r="BD25" s="659">
        <f t="shared" si="13"/>
        <v>16.365000000000002</v>
      </c>
      <c r="BE25">
        <v>15.81</v>
      </c>
      <c r="BF25">
        <v>12.83</v>
      </c>
      <c r="BG25" s="659">
        <f t="shared" si="14"/>
        <v>14.32</v>
      </c>
      <c r="BH25">
        <v>14.06</v>
      </c>
      <c r="BI25">
        <v>11.41</v>
      </c>
      <c r="BJ25" s="659">
        <f t="shared" si="15"/>
        <v>12.734999999999999</v>
      </c>
      <c r="BK25">
        <v>15.62</v>
      </c>
      <c r="BL25">
        <v>12.68</v>
      </c>
      <c r="BM25" s="659">
        <f t="shared" si="16"/>
        <v>14.149999999999999</v>
      </c>
      <c r="BN25">
        <v>13.8</v>
      </c>
      <c r="BO25">
        <v>12.68</v>
      </c>
      <c r="BP25" s="659">
        <f t="shared" si="17"/>
        <v>13.24</v>
      </c>
      <c r="BQ25">
        <v>11.21</v>
      </c>
      <c r="BR25">
        <v>11.21</v>
      </c>
      <c r="BS25" s="659">
        <f t="shared" si="18"/>
        <v>11.21</v>
      </c>
      <c r="BT25">
        <v>10.050000000000001</v>
      </c>
      <c r="BU25">
        <v>10.91</v>
      </c>
      <c r="BV25" s="659">
        <f t="shared" si="19"/>
        <v>10.48</v>
      </c>
      <c r="BW25">
        <v>20.72</v>
      </c>
      <c r="BX25">
        <v>29.39</v>
      </c>
      <c r="BY25" s="659">
        <f t="shared" si="20"/>
        <v>25.055</v>
      </c>
      <c r="BZ25">
        <v>17.27</v>
      </c>
      <c r="CA25">
        <v>24.49</v>
      </c>
      <c r="CB25" s="659">
        <f t="shared" si="21"/>
        <v>20.88</v>
      </c>
      <c r="CC25">
        <v>17.559999999999999</v>
      </c>
      <c r="CD25">
        <v>19.77</v>
      </c>
      <c r="CE25" s="659">
        <f t="shared" si="22"/>
        <v>18.664999999999999</v>
      </c>
      <c r="CF25">
        <v>15.8</v>
      </c>
      <c r="CG25">
        <v>17.79</v>
      </c>
      <c r="CH25" s="659">
        <f t="shared" si="23"/>
        <v>16.795000000000002</v>
      </c>
    </row>
    <row r="26" spans="1:86">
      <c r="A26">
        <v>170</v>
      </c>
      <c r="B26">
        <v>170</v>
      </c>
      <c r="C26">
        <v>170</v>
      </c>
      <c r="D26">
        <v>190</v>
      </c>
      <c r="E26">
        <v>230</v>
      </c>
      <c r="F26">
        <v>245</v>
      </c>
      <c r="G26">
        <v>285</v>
      </c>
      <c r="H26">
        <v>285</v>
      </c>
      <c r="I26">
        <v>510</v>
      </c>
      <c r="J26">
        <v>180</v>
      </c>
      <c r="K26">
        <v>230</v>
      </c>
      <c r="L26">
        <v>230</v>
      </c>
      <c r="M26">
        <v>230</v>
      </c>
      <c r="O26" s="656">
        <v>17.079999999999998</v>
      </c>
      <c r="P26" s="458">
        <v>17.57</v>
      </c>
      <c r="Q26" s="221">
        <f t="shared" si="0"/>
        <v>17.324999999999999</v>
      </c>
      <c r="R26" s="656">
        <v>17.079999999999998</v>
      </c>
      <c r="S26" s="458">
        <v>17.57</v>
      </c>
      <c r="T26" s="458">
        <f t="shared" si="1"/>
        <v>17.324999999999999</v>
      </c>
      <c r="U26" s="657">
        <v>19.850000000000001</v>
      </c>
      <c r="V26" s="458">
        <v>24.38</v>
      </c>
      <c r="W26" s="221">
        <f t="shared" si="2"/>
        <v>22.115000000000002</v>
      </c>
      <c r="X26" s="458">
        <v>18.12</v>
      </c>
      <c r="Y26" s="458">
        <v>22.26</v>
      </c>
      <c r="Z26" s="659">
        <f t="shared" si="3"/>
        <v>20.190000000000001</v>
      </c>
      <c r="AA26">
        <v>13.43</v>
      </c>
      <c r="AB26">
        <v>17.03</v>
      </c>
      <c r="AC26" s="659">
        <f t="shared" si="4"/>
        <v>15.23</v>
      </c>
      <c r="AD26">
        <v>11.51</v>
      </c>
      <c r="AE26">
        <v>14.6</v>
      </c>
      <c r="AF26" s="659">
        <f t="shared" si="5"/>
        <v>13.055</v>
      </c>
      <c r="AG26">
        <v>11.12</v>
      </c>
      <c r="AH26">
        <v>13.71</v>
      </c>
      <c r="AI26" s="659">
        <f t="shared" si="6"/>
        <v>12.414999999999999</v>
      </c>
      <c r="AJ26">
        <v>9.77</v>
      </c>
      <c r="AK26">
        <v>12.05</v>
      </c>
      <c r="AL26" s="659">
        <f t="shared" si="7"/>
        <v>10.91</v>
      </c>
      <c r="AM26">
        <v>16.760000000000002</v>
      </c>
      <c r="AN26">
        <v>12.71</v>
      </c>
      <c r="AO26" s="659">
        <f t="shared" si="8"/>
        <v>14.735000000000001</v>
      </c>
      <c r="AP26">
        <v>14.89</v>
      </c>
      <c r="AQ26">
        <v>11.29</v>
      </c>
      <c r="AR26" s="659">
        <f t="shared" si="9"/>
        <v>13.09</v>
      </c>
      <c r="AS26">
        <v>17.100000000000001</v>
      </c>
      <c r="AT26">
        <v>13.74</v>
      </c>
      <c r="AU26" s="659">
        <f t="shared" si="10"/>
        <v>15.420000000000002</v>
      </c>
      <c r="AV26">
        <v>14.96</v>
      </c>
      <c r="AW26">
        <v>12.02</v>
      </c>
      <c r="AX26" s="659">
        <f t="shared" si="11"/>
        <v>13.49</v>
      </c>
      <c r="AY26">
        <v>13.31</v>
      </c>
      <c r="AZ26">
        <v>10.68</v>
      </c>
      <c r="BA26" s="659">
        <f t="shared" si="12"/>
        <v>11.995000000000001</v>
      </c>
      <c r="BB26">
        <v>17.100000000000001</v>
      </c>
      <c r="BC26">
        <v>13.74</v>
      </c>
      <c r="BD26" s="659">
        <f t="shared" si="13"/>
        <v>15.420000000000002</v>
      </c>
      <c r="BE26">
        <v>14.96</v>
      </c>
      <c r="BF26">
        <v>12.02</v>
      </c>
      <c r="BG26" s="659">
        <f t="shared" si="14"/>
        <v>13.49</v>
      </c>
      <c r="BH26">
        <v>13.3</v>
      </c>
      <c r="BI26">
        <v>10.68</v>
      </c>
      <c r="BJ26" s="659">
        <f t="shared" si="15"/>
        <v>11.99</v>
      </c>
      <c r="BK26">
        <v>14.78</v>
      </c>
      <c r="BL26">
        <v>11.87</v>
      </c>
      <c r="BM26" s="659">
        <f t="shared" si="16"/>
        <v>13.324999999999999</v>
      </c>
      <c r="BN26">
        <v>12.22</v>
      </c>
      <c r="BO26">
        <v>12.19</v>
      </c>
      <c r="BP26" s="659">
        <f t="shared" si="17"/>
        <v>12.205</v>
      </c>
      <c r="BQ26">
        <v>10.8</v>
      </c>
      <c r="BR26">
        <v>10.77</v>
      </c>
      <c r="BS26" s="659">
        <f t="shared" si="18"/>
        <v>10.785</v>
      </c>
      <c r="BT26">
        <v>9.68</v>
      </c>
      <c r="BU26">
        <v>10.48</v>
      </c>
      <c r="BV26" s="659">
        <f t="shared" si="19"/>
        <v>10.08</v>
      </c>
      <c r="BW26">
        <v>19.47</v>
      </c>
      <c r="BX26">
        <v>27.1</v>
      </c>
      <c r="BY26" s="659">
        <f t="shared" si="20"/>
        <v>23.285</v>
      </c>
      <c r="BZ26">
        <v>16.23</v>
      </c>
      <c r="CA26">
        <v>22.58</v>
      </c>
      <c r="CB26" s="659">
        <f t="shared" si="21"/>
        <v>19.405000000000001</v>
      </c>
      <c r="CC26">
        <v>16.37</v>
      </c>
      <c r="CD26">
        <v>18.63</v>
      </c>
      <c r="CE26" s="659">
        <f t="shared" si="22"/>
        <v>17.5</v>
      </c>
      <c r="CF26">
        <v>14.74</v>
      </c>
      <c r="CG26">
        <v>16.77</v>
      </c>
      <c r="CH26" s="659">
        <f t="shared" si="23"/>
        <v>15.754999999999999</v>
      </c>
    </row>
    <row r="27" spans="1:86">
      <c r="A27">
        <v>175</v>
      </c>
      <c r="B27">
        <v>175</v>
      </c>
      <c r="C27">
        <v>175</v>
      </c>
      <c r="D27">
        <v>195</v>
      </c>
      <c r="E27">
        <v>235</v>
      </c>
      <c r="F27">
        <v>250</v>
      </c>
      <c r="G27">
        <v>290</v>
      </c>
      <c r="H27">
        <v>290</v>
      </c>
      <c r="I27">
        <v>525</v>
      </c>
      <c r="J27">
        <v>185</v>
      </c>
      <c r="K27">
        <v>235</v>
      </c>
      <c r="L27">
        <v>235</v>
      </c>
      <c r="M27">
        <v>235</v>
      </c>
      <c r="O27" s="656">
        <v>15.89</v>
      </c>
      <c r="P27" s="458">
        <v>16.45</v>
      </c>
      <c r="Q27" s="221">
        <f t="shared" si="0"/>
        <v>16.170000000000002</v>
      </c>
      <c r="R27" s="656">
        <v>15.89</v>
      </c>
      <c r="S27" s="458">
        <v>16.45</v>
      </c>
      <c r="T27" s="458">
        <f t="shared" si="1"/>
        <v>16.170000000000002</v>
      </c>
      <c r="U27" s="657">
        <v>18.809999999999999</v>
      </c>
      <c r="V27" s="458">
        <v>22.94</v>
      </c>
      <c r="W27" s="221">
        <f t="shared" si="2"/>
        <v>20.875</v>
      </c>
      <c r="X27" s="458">
        <v>17.18</v>
      </c>
      <c r="Y27" s="458">
        <v>20.94</v>
      </c>
      <c r="Z27" s="659">
        <f t="shared" si="3"/>
        <v>19.060000000000002</v>
      </c>
      <c r="AA27">
        <v>20.22</v>
      </c>
      <c r="AB27">
        <v>18.239999999999998</v>
      </c>
      <c r="AC27" s="659">
        <f t="shared" si="4"/>
        <v>19.229999999999997</v>
      </c>
      <c r="AD27">
        <v>17.329999999999998</v>
      </c>
      <c r="AE27">
        <v>15.63</v>
      </c>
      <c r="AF27" s="659">
        <f t="shared" si="5"/>
        <v>16.48</v>
      </c>
      <c r="AG27">
        <v>14.97</v>
      </c>
      <c r="AH27">
        <v>13.27</v>
      </c>
      <c r="AI27" s="659">
        <f t="shared" si="6"/>
        <v>14.120000000000001</v>
      </c>
      <c r="AJ27">
        <v>13.15</v>
      </c>
      <c r="AK27">
        <v>11.66</v>
      </c>
      <c r="AL27" s="659">
        <f t="shared" si="7"/>
        <v>12.405000000000001</v>
      </c>
      <c r="AM27">
        <v>15.72</v>
      </c>
      <c r="AN27">
        <v>11.79</v>
      </c>
      <c r="AO27" s="659">
        <f t="shared" si="8"/>
        <v>13.754999999999999</v>
      </c>
      <c r="AP27">
        <v>13.98</v>
      </c>
      <c r="AQ27">
        <v>10.48</v>
      </c>
      <c r="AR27" s="659">
        <f t="shared" si="9"/>
        <v>12.23</v>
      </c>
      <c r="AS27">
        <v>16.170000000000002</v>
      </c>
      <c r="AT27">
        <v>12.87</v>
      </c>
      <c r="AU27" s="659">
        <f t="shared" si="10"/>
        <v>14.52</v>
      </c>
      <c r="AV27">
        <v>14.15</v>
      </c>
      <c r="AW27">
        <v>11.26</v>
      </c>
      <c r="AX27" s="659">
        <f t="shared" si="11"/>
        <v>12.705</v>
      </c>
      <c r="AY27">
        <v>12.58</v>
      </c>
      <c r="AZ27">
        <v>10.01</v>
      </c>
      <c r="BA27" s="659">
        <f t="shared" si="12"/>
        <v>11.295</v>
      </c>
      <c r="BB27">
        <v>16.170000000000002</v>
      </c>
      <c r="BC27">
        <v>12.87</v>
      </c>
      <c r="BD27" s="659">
        <f t="shared" si="13"/>
        <v>14.52</v>
      </c>
      <c r="BE27">
        <v>14.15</v>
      </c>
      <c r="BF27">
        <v>11.26</v>
      </c>
      <c r="BG27" s="659">
        <f t="shared" si="14"/>
        <v>12.705</v>
      </c>
      <c r="BH27">
        <v>12.58</v>
      </c>
      <c r="BI27">
        <v>10.01</v>
      </c>
      <c r="BJ27" s="659">
        <f t="shared" si="15"/>
        <v>11.295</v>
      </c>
      <c r="BK27">
        <v>13.98</v>
      </c>
      <c r="BL27">
        <v>11.12</v>
      </c>
      <c r="BM27" s="659">
        <f t="shared" si="16"/>
        <v>12.55</v>
      </c>
      <c r="BN27">
        <v>12.92</v>
      </c>
      <c r="BO27">
        <v>13.14</v>
      </c>
      <c r="BP27" s="659">
        <f t="shared" si="17"/>
        <v>13.030000000000001</v>
      </c>
      <c r="BQ27">
        <v>11.42</v>
      </c>
      <c r="BR27">
        <v>11.6</v>
      </c>
      <c r="BS27" s="659">
        <f t="shared" si="18"/>
        <v>11.51</v>
      </c>
      <c r="BT27">
        <v>10.210000000000001</v>
      </c>
      <c r="BU27">
        <v>11.48</v>
      </c>
      <c r="BV27" s="659">
        <f t="shared" si="19"/>
        <v>10.845000000000001</v>
      </c>
      <c r="BW27">
        <v>18.329999999999998</v>
      </c>
      <c r="BX27">
        <v>25.06</v>
      </c>
      <c r="BY27" s="659">
        <f t="shared" si="20"/>
        <v>21.695</v>
      </c>
      <c r="BZ27">
        <v>15.28</v>
      </c>
      <c r="CA27">
        <v>20.89</v>
      </c>
      <c r="CB27" s="659">
        <f t="shared" si="21"/>
        <v>18.085000000000001</v>
      </c>
      <c r="CC27">
        <v>16.37</v>
      </c>
      <c r="CD27">
        <v>18.63</v>
      </c>
      <c r="CE27" s="659">
        <f t="shared" si="22"/>
        <v>17.5</v>
      </c>
      <c r="CF27">
        <v>14.74</v>
      </c>
      <c r="CG27">
        <v>16.77</v>
      </c>
      <c r="CH27" s="659">
        <f t="shared" si="23"/>
        <v>15.754999999999999</v>
      </c>
    </row>
    <row r="28" spans="1:86">
      <c r="A28">
        <v>180</v>
      </c>
      <c r="B28">
        <v>180</v>
      </c>
      <c r="C28">
        <v>180</v>
      </c>
      <c r="D28">
        <v>200</v>
      </c>
      <c r="E28">
        <v>240</v>
      </c>
      <c r="F28">
        <v>255</v>
      </c>
      <c r="G28">
        <v>295</v>
      </c>
      <c r="H28">
        <v>295</v>
      </c>
      <c r="I28">
        <v>540</v>
      </c>
      <c r="J28">
        <v>190</v>
      </c>
      <c r="K28">
        <v>240</v>
      </c>
      <c r="L28">
        <v>240</v>
      </c>
      <c r="M28">
        <v>240</v>
      </c>
      <c r="O28" s="656">
        <v>14.78</v>
      </c>
      <c r="P28" s="458">
        <v>15.41</v>
      </c>
      <c r="Q28" s="221">
        <f t="shared" si="0"/>
        <v>15.094999999999999</v>
      </c>
      <c r="R28" s="656">
        <v>14.78</v>
      </c>
      <c r="S28" s="458">
        <v>15.41</v>
      </c>
      <c r="T28" s="458">
        <f t="shared" si="1"/>
        <v>15.094999999999999</v>
      </c>
      <c r="U28" s="657">
        <v>17.63</v>
      </c>
      <c r="V28" s="458">
        <v>21.37</v>
      </c>
      <c r="W28" s="221">
        <f t="shared" si="2"/>
        <v>19.5</v>
      </c>
      <c r="X28" s="458">
        <v>16.100000000000001</v>
      </c>
      <c r="Y28" s="458">
        <v>19.52</v>
      </c>
      <c r="Z28" s="659">
        <f t="shared" si="3"/>
        <v>17.810000000000002</v>
      </c>
      <c r="AA28">
        <v>18.850000000000001</v>
      </c>
      <c r="AB28">
        <v>17.010000000000002</v>
      </c>
      <c r="AC28" s="659">
        <f t="shared" si="4"/>
        <v>17.93</v>
      </c>
      <c r="AD28">
        <v>16.149999999999999</v>
      </c>
      <c r="AE28">
        <v>14.58</v>
      </c>
      <c r="AF28" s="659">
        <f t="shared" si="5"/>
        <v>15.364999999999998</v>
      </c>
      <c r="AG28">
        <v>14.01</v>
      </c>
      <c r="AH28">
        <v>12.48</v>
      </c>
      <c r="AI28" s="659">
        <f t="shared" si="6"/>
        <v>13.245000000000001</v>
      </c>
      <c r="AJ28">
        <v>12.31</v>
      </c>
      <c r="AK28">
        <v>10.97</v>
      </c>
      <c r="AL28" s="659">
        <f t="shared" si="7"/>
        <v>11.64</v>
      </c>
      <c r="AM28">
        <v>16.04</v>
      </c>
      <c r="AN28">
        <v>12.45</v>
      </c>
      <c r="AO28" s="659">
        <f t="shared" si="8"/>
        <v>14.244999999999999</v>
      </c>
      <c r="AP28">
        <v>14.25</v>
      </c>
      <c r="AQ28">
        <v>11.06</v>
      </c>
      <c r="AR28" s="659">
        <f t="shared" si="9"/>
        <v>12.655000000000001</v>
      </c>
      <c r="AS28">
        <v>16.649999999999999</v>
      </c>
      <c r="AT28">
        <v>13.39</v>
      </c>
      <c r="AU28" s="659">
        <f t="shared" si="10"/>
        <v>15.02</v>
      </c>
      <c r="AV28">
        <v>14.57</v>
      </c>
      <c r="AW28">
        <v>11.72</v>
      </c>
      <c r="AX28" s="659">
        <f t="shared" si="11"/>
        <v>13.145</v>
      </c>
      <c r="AY28">
        <v>12.95</v>
      </c>
      <c r="AZ28">
        <v>10.42</v>
      </c>
      <c r="BA28" s="659">
        <f t="shared" si="12"/>
        <v>11.684999999999999</v>
      </c>
      <c r="BB28">
        <v>13.14</v>
      </c>
      <c r="BC28">
        <v>14.42</v>
      </c>
      <c r="BD28" s="659">
        <f t="shared" si="13"/>
        <v>13.780000000000001</v>
      </c>
      <c r="BE28">
        <v>14.57</v>
      </c>
      <c r="BF28">
        <v>11.72</v>
      </c>
      <c r="BG28" s="659">
        <f t="shared" si="14"/>
        <v>13.145</v>
      </c>
      <c r="BH28">
        <v>12.95</v>
      </c>
      <c r="BI28">
        <v>10.42</v>
      </c>
      <c r="BJ28" s="659">
        <f t="shared" si="15"/>
        <v>11.684999999999999</v>
      </c>
      <c r="BK28">
        <v>14.39</v>
      </c>
      <c r="BL28">
        <v>11.58</v>
      </c>
      <c r="BM28" s="659">
        <f t="shared" si="16"/>
        <v>12.984999999999999</v>
      </c>
      <c r="BN28">
        <v>12.25</v>
      </c>
      <c r="BO28">
        <v>12.42</v>
      </c>
      <c r="BP28" s="659">
        <f t="shared" si="17"/>
        <v>12.335000000000001</v>
      </c>
      <c r="BQ28">
        <v>10.82</v>
      </c>
      <c r="BR28">
        <v>10.97</v>
      </c>
      <c r="BS28" s="659">
        <f t="shared" si="18"/>
        <v>10.895</v>
      </c>
      <c r="BT28">
        <v>9.68</v>
      </c>
      <c r="BU28">
        <v>9.8000000000000007</v>
      </c>
      <c r="BV28" s="659">
        <f t="shared" si="19"/>
        <v>9.74</v>
      </c>
      <c r="BW28">
        <v>17.05</v>
      </c>
      <c r="BX28">
        <v>22.97</v>
      </c>
      <c r="BY28" s="659">
        <f t="shared" si="20"/>
        <v>20.009999999999998</v>
      </c>
      <c r="BZ28">
        <v>14.2</v>
      </c>
      <c r="CA28">
        <v>19.14</v>
      </c>
      <c r="CB28" s="659">
        <f t="shared" si="21"/>
        <v>16.670000000000002</v>
      </c>
      <c r="CC28">
        <v>24.17</v>
      </c>
      <c r="CD28">
        <v>22.89</v>
      </c>
      <c r="CE28" s="659">
        <f t="shared" si="22"/>
        <v>23.53</v>
      </c>
      <c r="CF28">
        <v>21.36</v>
      </c>
      <c r="CG28">
        <v>20.6</v>
      </c>
      <c r="CH28" s="659">
        <f t="shared" si="23"/>
        <v>20.98</v>
      </c>
    </row>
    <row r="29" spans="1:86">
      <c r="A29">
        <v>185</v>
      </c>
      <c r="B29">
        <v>185</v>
      </c>
      <c r="C29">
        <v>185</v>
      </c>
      <c r="D29">
        <v>205</v>
      </c>
      <c r="E29">
        <v>245</v>
      </c>
      <c r="F29">
        <v>260</v>
      </c>
      <c r="G29">
        <v>300</v>
      </c>
      <c r="H29">
        <v>300</v>
      </c>
      <c r="I29">
        <v>555</v>
      </c>
      <c r="J29">
        <v>195</v>
      </c>
      <c r="K29">
        <v>245</v>
      </c>
      <c r="L29">
        <v>245</v>
      </c>
      <c r="M29">
        <v>245</v>
      </c>
      <c r="O29" s="656">
        <v>13.77</v>
      </c>
      <c r="P29" s="458">
        <v>14.46</v>
      </c>
      <c r="Q29" s="221">
        <f t="shared" si="0"/>
        <v>14.115</v>
      </c>
      <c r="R29" s="656">
        <v>13.77</v>
      </c>
      <c r="S29" s="458">
        <v>14.46</v>
      </c>
      <c r="T29" s="458">
        <f t="shared" si="1"/>
        <v>14.115</v>
      </c>
      <c r="U29" s="657">
        <v>16.55</v>
      </c>
      <c r="V29" s="458">
        <v>19.96</v>
      </c>
      <c r="W29" s="221">
        <f t="shared" si="2"/>
        <v>18.255000000000003</v>
      </c>
      <c r="X29" s="458">
        <v>15.11</v>
      </c>
      <c r="Y29" s="458">
        <v>18.22</v>
      </c>
      <c r="Z29" s="659">
        <f t="shared" si="3"/>
        <v>16.664999999999999</v>
      </c>
      <c r="AA29">
        <v>17.579999999999998</v>
      </c>
      <c r="AB29">
        <v>15.89</v>
      </c>
      <c r="AC29" s="659">
        <f t="shared" si="4"/>
        <v>16.734999999999999</v>
      </c>
      <c r="AD29">
        <v>15.07</v>
      </c>
      <c r="AE29">
        <v>13.62</v>
      </c>
      <c r="AF29" s="659">
        <f t="shared" si="5"/>
        <v>14.344999999999999</v>
      </c>
      <c r="AG29">
        <v>13.11</v>
      </c>
      <c r="AH29">
        <v>11.75</v>
      </c>
      <c r="AI29" s="659">
        <f t="shared" si="6"/>
        <v>12.43</v>
      </c>
      <c r="AJ29">
        <v>11.52</v>
      </c>
      <c r="AK29">
        <v>10.33</v>
      </c>
      <c r="AL29" s="659">
        <f t="shared" si="7"/>
        <v>10.925000000000001</v>
      </c>
      <c r="AM29">
        <v>15.32</v>
      </c>
      <c r="AN29">
        <v>11.59</v>
      </c>
      <c r="AO29" s="659">
        <f t="shared" si="8"/>
        <v>13.455</v>
      </c>
      <c r="AP29">
        <v>13.62</v>
      </c>
      <c r="AQ29">
        <v>10.3</v>
      </c>
      <c r="AR29" s="659">
        <f t="shared" si="9"/>
        <v>11.96</v>
      </c>
      <c r="AS29">
        <v>15.79</v>
      </c>
      <c r="AT29">
        <v>12.59</v>
      </c>
      <c r="AU29" s="659">
        <f t="shared" si="10"/>
        <v>14.19</v>
      </c>
      <c r="AV29">
        <v>13.82</v>
      </c>
      <c r="AW29">
        <v>11.02</v>
      </c>
      <c r="AX29" s="659">
        <f t="shared" si="11"/>
        <v>12.42</v>
      </c>
      <c r="AY29">
        <v>12.28</v>
      </c>
      <c r="AZ29">
        <v>9.8000000000000007</v>
      </c>
      <c r="BA29" s="659">
        <f t="shared" si="12"/>
        <v>11.04</v>
      </c>
      <c r="BB29">
        <v>13.29</v>
      </c>
      <c r="BC29">
        <v>14.39</v>
      </c>
      <c r="BD29" s="659">
        <f t="shared" si="13"/>
        <v>13.84</v>
      </c>
      <c r="BE29">
        <v>13.82</v>
      </c>
      <c r="BF29">
        <v>11.02</v>
      </c>
      <c r="BG29" s="659">
        <f t="shared" si="14"/>
        <v>12.42</v>
      </c>
      <c r="BH29">
        <v>12.28</v>
      </c>
      <c r="BI29">
        <v>9.8000000000000007</v>
      </c>
      <c r="BJ29" s="659">
        <f t="shared" si="15"/>
        <v>11.04</v>
      </c>
      <c r="BK29">
        <v>13.64</v>
      </c>
      <c r="BL29">
        <v>10.89</v>
      </c>
      <c r="BM29" s="659">
        <f t="shared" si="16"/>
        <v>12.265000000000001</v>
      </c>
      <c r="BN29">
        <v>12.75</v>
      </c>
      <c r="BO29">
        <v>11.77</v>
      </c>
      <c r="BP29" s="659">
        <f t="shared" si="17"/>
        <v>12.26</v>
      </c>
      <c r="BQ29">
        <v>10.27</v>
      </c>
      <c r="BR29">
        <v>10.39</v>
      </c>
      <c r="BS29" s="659">
        <f t="shared" si="18"/>
        <v>10.33</v>
      </c>
      <c r="BT29">
        <v>9.19</v>
      </c>
      <c r="BU29">
        <v>9.2899999999999991</v>
      </c>
      <c r="BV29" s="659">
        <f t="shared" si="19"/>
        <v>9.2399999999999984</v>
      </c>
      <c r="BW29">
        <v>18.57</v>
      </c>
      <c r="BX29">
        <v>19.010000000000002</v>
      </c>
      <c r="BY29" s="659">
        <f t="shared" si="20"/>
        <v>18.79</v>
      </c>
      <c r="BZ29">
        <v>15.47</v>
      </c>
      <c r="CA29">
        <v>15.84</v>
      </c>
      <c r="CB29" s="659">
        <f t="shared" si="21"/>
        <v>15.655000000000001</v>
      </c>
      <c r="CC29">
        <v>22.36</v>
      </c>
      <c r="CD29">
        <v>21.66</v>
      </c>
      <c r="CE29" s="659">
        <f t="shared" si="22"/>
        <v>22.009999999999998</v>
      </c>
      <c r="CF29">
        <v>20.12</v>
      </c>
      <c r="CG29">
        <v>19.489999999999998</v>
      </c>
      <c r="CH29" s="659">
        <f t="shared" si="23"/>
        <v>19.805</v>
      </c>
    </row>
    <row r="30" spans="1:86">
      <c r="A30">
        <v>190</v>
      </c>
      <c r="B30">
        <v>190</v>
      </c>
      <c r="C30">
        <v>190</v>
      </c>
      <c r="D30">
        <v>210</v>
      </c>
      <c r="E30">
        <v>250</v>
      </c>
      <c r="F30">
        <v>265</v>
      </c>
      <c r="G30">
        <v>310</v>
      </c>
      <c r="H30">
        <v>310</v>
      </c>
      <c r="I30">
        <v>570</v>
      </c>
      <c r="J30">
        <v>200</v>
      </c>
      <c r="K30">
        <v>250</v>
      </c>
      <c r="L30">
        <v>250</v>
      </c>
      <c r="M30">
        <v>250</v>
      </c>
      <c r="O30" s="656">
        <v>12.86</v>
      </c>
      <c r="P30" s="458">
        <v>13.63</v>
      </c>
      <c r="Q30" s="221">
        <f t="shared" si="0"/>
        <v>13.245000000000001</v>
      </c>
      <c r="R30" s="656">
        <v>12.86</v>
      </c>
      <c r="S30" s="458">
        <v>13.63</v>
      </c>
      <c r="T30" s="458">
        <f t="shared" si="1"/>
        <v>13.245000000000001</v>
      </c>
      <c r="U30" s="657">
        <v>15.35</v>
      </c>
      <c r="V30" s="458">
        <v>18.440000000000001</v>
      </c>
      <c r="W30" s="221">
        <f t="shared" si="2"/>
        <v>16.895</v>
      </c>
      <c r="X30" s="458">
        <v>14.01</v>
      </c>
      <c r="Y30" s="458">
        <v>16.84</v>
      </c>
      <c r="Z30" s="659">
        <f t="shared" si="3"/>
        <v>15.425000000000001</v>
      </c>
      <c r="AA30">
        <v>16.41</v>
      </c>
      <c r="AB30">
        <v>14.88</v>
      </c>
      <c r="AC30" s="659">
        <f t="shared" si="4"/>
        <v>15.645</v>
      </c>
      <c r="AD30">
        <v>14.07</v>
      </c>
      <c r="AE30">
        <v>12.75</v>
      </c>
      <c r="AF30" s="659">
        <f t="shared" si="5"/>
        <v>13.41</v>
      </c>
      <c r="AG30">
        <v>12.3</v>
      </c>
      <c r="AH30">
        <v>11.11</v>
      </c>
      <c r="AI30" s="659">
        <f t="shared" si="6"/>
        <v>11.705</v>
      </c>
      <c r="AJ30">
        <v>10.81</v>
      </c>
      <c r="AK30">
        <v>9.76</v>
      </c>
      <c r="AL30" s="659">
        <f t="shared" si="7"/>
        <v>10.285</v>
      </c>
      <c r="AM30">
        <v>14.41</v>
      </c>
      <c r="AN30">
        <v>10.8</v>
      </c>
      <c r="AO30" s="659">
        <f t="shared" si="8"/>
        <v>12.605</v>
      </c>
      <c r="AP30">
        <v>12.81</v>
      </c>
      <c r="AQ30">
        <v>9.6</v>
      </c>
      <c r="AR30" s="659">
        <f t="shared" si="9"/>
        <v>11.205</v>
      </c>
      <c r="AS30">
        <v>14.29</v>
      </c>
      <c r="AT30">
        <v>11.27</v>
      </c>
      <c r="AU30" s="659">
        <f t="shared" si="10"/>
        <v>12.78</v>
      </c>
      <c r="AV30">
        <v>12.5</v>
      </c>
      <c r="AW30">
        <v>9.86</v>
      </c>
      <c r="AX30" s="659">
        <f t="shared" si="11"/>
        <v>11.18</v>
      </c>
      <c r="AY30">
        <v>11.11</v>
      </c>
      <c r="AZ30">
        <v>8.76</v>
      </c>
      <c r="BA30" s="659">
        <f t="shared" si="12"/>
        <v>9.9349999999999987</v>
      </c>
      <c r="BB30">
        <v>12.03</v>
      </c>
      <c r="BC30">
        <v>12.93</v>
      </c>
      <c r="BD30" s="659">
        <f t="shared" si="13"/>
        <v>12.48</v>
      </c>
      <c r="BE30">
        <v>12.5</v>
      </c>
      <c r="BF30">
        <v>9.86</v>
      </c>
      <c r="BG30" s="659">
        <f t="shared" si="14"/>
        <v>11.18</v>
      </c>
      <c r="BH30">
        <v>11.11</v>
      </c>
      <c r="BI30">
        <v>8.76</v>
      </c>
      <c r="BJ30" s="659">
        <f t="shared" si="15"/>
        <v>9.9349999999999987</v>
      </c>
      <c r="BK30">
        <v>12.34</v>
      </c>
      <c r="BL30">
        <v>9.73</v>
      </c>
      <c r="BM30" s="659">
        <f t="shared" si="16"/>
        <v>11.035</v>
      </c>
      <c r="BN30">
        <v>11.06</v>
      </c>
      <c r="BO30">
        <v>11.17</v>
      </c>
      <c r="BP30" s="659">
        <f t="shared" si="17"/>
        <v>11.115</v>
      </c>
      <c r="BQ30">
        <v>9.77</v>
      </c>
      <c r="BR30">
        <v>9.8699999999999992</v>
      </c>
      <c r="BS30" s="659">
        <f t="shared" si="18"/>
        <v>9.82</v>
      </c>
      <c r="BT30">
        <v>8.74</v>
      </c>
      <c r="BU30">
        <v>8.82</v>
      </c>
      <c r="BV30" s="659">
        <f t="shared" si="19"/>
        <v>8.7800000000000011</v>
      </c>
      <c r="BW30">
        <v>17.28</v>
      </c>
      <c r="BX30">
        <v>17.600000000000001</v>
      </c>
      <c r="BY30" s="659">
        <f t="shared" si="20"/>
        <v>17.440000000000001</v>
      </c>
      <c r="BZ30">
        <v>14.4</v>
      </c>
      <c r="CA30">
        <v>14.67</v>
      </c>
      <c r="CB30" s="659">
        <f t="shared" si="21"/>
        <v>14.535</v>
      </c>
      <c r="CC30">
        <v>21.1</v>
      </c>
      <c r="CD30">
        <v>20.54</v>
      </c>
      <c r="CE30" s="659">
        <f t="shared" si="22"/>
        <v>20.82</v>
      </c>
      <c r="CF30">
        <v>18.989999999999998</v>
      </c>
      <c r="CG30">
        <v>18.48</v>
      </c>
      <c r="CH30" s="659">
        <f t="shared" si="23"/>
        <v>18.734999999999999</v>
      </c>
    </row>
    <row r="31" spans="1:86">
      <c r="A31">
        <v>195</v>
      </c>
      <c r="B31">
        <v>195</v>
      </c>
      <c r="C31">
        <v>195</v>
      </c>
      <c r="D31">
        <v>215</v>
      </c>
      <c r="E31">
        <v>255</v>
      </c>
      <c r="F31">
        <v>270</v>
      </c>
      <c r="G31">
        <v>320</v>
      </c>
      <c r="H31">
        <v>320</v>
      </c>
      <c r="I31">
        <v>585</v>
      </c>
      <c r="J31">
        <v>205</v>
      </c>
      <c r="K31">
        <v>255</v>
      </c>
      <c r="L31">
        <v>255</v>
      </c>
      <c r="M31">
        <v>255</v>
      </c>
      <c r="O31" s="656">
        <v>15.39</v>
      </c>
      <c r="P31" s="458">
        <v>15.82</v>
      </c>
      <c r="Q31" s="221">
        <f t="shared" si="0"/>
        <v>15.605</v>
      </c>
      <c r="R31" s="656">
        <v>15.39</v>
      </c>
      <c r="S31" s="458">
        <v>15.82</v>
      </c>
      <c r="T31" s="458">
        <f t="shared" si="1"/>
        <v>15.605</v>
      </c>
      <c r="U31" s="657">
        <v>12.95</v>
      </c>
      <c r="V31" s="458">
        <v>13.5</v>
      </c>
      <c r="W31" s="221">
        <f t="shared" si="2"/>
        <v>13.225</v>
      </c>
      <c r="X31" s="458">
        <v>11.82</v>
      </c>
      <c r="Y31" s="458">
        <v>12.33</v>
      </c>
      <c r="Z31" s="659">
        <f t="shared" si="3"/>
        <v>12.074999999999999</v>
      </c>
      <c r="AA31">
        <v>15.34</v>
      </c>
      <c r="AB31">
        <v>13.95</v>
      </c>
      <c r="AC31" s="659">
        <f t="shared" si="4"/>
        <v>14.645</v>
      </c>
      <c r="AD31">
        <v>13.15</v>
      </c>
      <c r="AE31">
        <v>11.96</v>
      </c>
      <c r="AF31" s="659">
        <f t="shared" si="5"/>
        <v>12.555</v>
      </c>
      <c r="AG31">
        <v>12.86</v>
      </c>
      <c r="AH31">
        <v>11.28</v>
      </c>
      <c r="AI31" s="659">
        <f t="shared" si="6"/>
        <v>12.07</v>
      </c>
      <c r="AJ31">
        <v>11.31</v>
      </c>
      <c r="AK31">
        <v>9.91</v>
      </c>
      <c r="AL31" s="659">
        <f t="shared" si="7"/>
        <v>10.61</v>
      </c>
      <c r="AM31">
        <v>13.55</v>
      </c>
      <c r="AN31">
        <v>10.07</v>
      </c>
      <c r="AO31" s="659">
        <f t="shared" si="8"/>
        <v>11.81</v>
      </c>
      <c r="AP31">
        <v>12.05</v>
      </c>
      <c r="AQ31">
        <v>8.9499999999999993</v>
      </c>
      <c r="AR31" s="659">
        <f t="shared" si="9"/>
        <v>10.5</v>
      </c>
      <c r="AS31">
        <v>11.36</v>
      </c>
      <c r="AT31">
        <v>12.51</v>
      </c>
      <c r="AU31" s="659">
        <f t="shared" si="10"/>
        <v>11.934999999999999</v>
      </c>
      <c r="AV31">
        <v>9.94</v>
      </c>
      <c r="AW31">
        <v>10.95</v>
      </c>
      <c r="AX31" s="659">
        <f t="shared" si="11"/>
        <v>10.445</v>
      </c>
      <c r="AY31">
        <v>8.84</v>
      </c>
      <c r="AZ31">
        <v>9.73</v>
      </c>
      <c r="BA31" s="659">
        <f t="shared" si="12"/>
        <v>9.2850000000000001</v>
      </c>
      <c r="BB31">
        <v>11.36</v>
      </c>
      <c r="BC31">
        <v>12.51</v>
      </c>
      <c r="BD31" s="659">
        <f t="shared" si="13"/>
        <v>11.934999999999999</v>
      </c>
      <c r="BE31">
        <v>8.9700000000000006</v>
      </c>
      <c r="BF31">
        <v>9.7899999999999991</v>
      </c>
      <c r="BG31" s="659">
        <f t="shared" si="14"/>
        <v>9.379999999999999</v>
      </c>
      <c r="BH31">
        <v>7.97</v>
      </c>
      <c r="BI31">
        <v>8.6999999999999993</v>
      </c>
      <c r="BJ31" s="659">
        <f t="shared" si="15"/>
        <v>8.3349999999999991</v>
      </c>
      <c r="BK31">
        <v>8.86</v>
      </c>
      <c r="BL31">
        <v>9.67</v>
      </c>
      <c r="BM31" s="659">
        <f t="shared" si="16"/>
        <v>9.2650000000000006</v>
      </c>
      <c r="BN31">
        <v>10.56</v>
      </c>
      <c r="BO31">
        <v>10.65</v>
      </c>
      <c r="BP31" s="659">
        <f t="shared" si="17"/>
        <v>10.605</v>
      </c>
      <c r="BQ31">
        <v>9.32</v>
      </c>
      <c r="BR31">
        <v>9.4</v>
      </c>
      <c r="BS31" s="659">
        <f t="shared" si="18"/>
        <v>9.36</v>
      </c>
      <c r="BT31">
        <v>8.33</v>
      </c>
      <c r="BU31">
        <v>8.39</v>
      </c>
      <c r="BV31" s="659">
        <f t="shared" si="19"/>
        <v>8.36</v>
      </c>
      <c r="BW31">
        <v>16.100000000000001</v>
      </c>
      <c r="BX31">
        <v>16.36</v>
      </c>
      <c r="BY31" s="659">
        <f t="shared" si="20"/>
        <v>16.23</v>
      </c>
      <c r="BZ31">
        <v>13.42</v>
      </c>
      <c r="CA31">
        <v>13.63</v>
      </c>
      <c r="CB31" s="659">
        <f t="shared" si="21"/>
        <v>13.525</v>
      </c>
      <c r="CC31">
        <v>19.89</v>
      </c>
      <c r="CD31">
        <v>19.47</v>
      </c>
      <c r="CE31" s="659">
        <f t="shared" si="22"/>
        <v>19.68</v>
      </c>
      <c r="CF31">
        <v>17.899999999999999</v>
      </c>
      <c r="CG31">
        <v>17.52</v>
      </c>
      <c r="CH31" s="659">
        <f t="shared" si="23"/>
        <v>17.71</v>
      </c>
    </row>
    <row r="32" spans="1:86">
      <c r="A32">
        <v>200</v>
      </c>
      <c r="B32">
        <v>200</v>
      </c>
      <c r="C32">
        <v>200</v>
      </c>
      <c r="D32">
        <v>220</v>
      </c>
      <c r="E32">
        <v>260</v>
      </c>
      <c r="F32">
        <v>275</v>
      </c>
      <c r="G32">
        <v>330</v>
      </c>
      <c r="H32">
        <v>330</v>
      </c>
      <c r="I32">
        <v>600</v>
      </c>
      <c r="J32">
        <v>210</v>
      </c>
      <c r="K32">
        <v>260</v>
      </c>
      <c r="L32">
        <v>260</v>
      </c>
      <c r="M32">
        <v>260</v>
      </c>
      <c r="O32" s="656">
        <v>14.4</v>
      </c>
      <c r="P32" s="458">
        <v>14.92</v>
      </c>
      <c r="Q32" s="221">
        <f t="shared" si="0"/>
        <v>14.66</v>
      </c>
      <c r="R32" s="656">
        <v>14.4</v>
      </c>
      <c r="S32" s="458">
        <v>14.92</v>
      </c>
      <c r="T32" s="458">
        <f t="shared" si="1"/>
        <v>14.66</v>
      </c>
      <c r="U32" s="657">
        <v>12.11</v>
      </c>
      <c r="V32" s="458">
        <v>12.71</v>
      </c>
      <c r="W32" s="221">
        <f t="shared" si="2"/>
        <v>12.41</v>
      </c>
      <c r="X32" s="458">
        <v>11.06</v>
      </c>
      <c r="Y32" s="458">
        <v>11.6</v>
      </c>
      <c r="Z32" s="659">
        <f t="shared" si="3"/>
        <v>11.33</v>
      </c>
      <c r="AA32">
        <v>14.34</v>
      </c>
      <c r="AB32">
        <v>13.1</v>
      </c>
      <c r="AC32" s="659">
        <f t="shared" si="4"/>
        <v>13.719999999999999</v>
      </c>
      <c r="AD32">
        <v>12.29</v>
      </c>
      <c r="AE32">
        <v>11.23</v>
      </c>
      <c r="AF32" s="659">
        <f t="shared" si="5"/>
        <v>11.76</v>
      </c>
      <c r="AG32">
        <v>12.08</v>
      </c>
      <c r="AH32">
        <v>10.67</v>
      </c>
      <c r="AI32" s="659">
        <f t="shared" si="6"/>
        <v>11.375</v>
      </c>
      <c r="AJ32">
        <v>10.62</v>
      </c>
      <c r="AK32">
        <v>9.3699999999999992</v>
      </c>
      <c r="AL32" s="659">
        <f t="shared" si="7"/>
        <v>9.9949999999999992</v>
      </c>
      <c r="AM32">
        <v>10.91</v>
      </c>
      <c r="AN32">
        <v>12.02</v>
      </c>
      <c r="AO32" s="659">
        <f t="shared" si="8"/>
        <v>11.465</v>
      </c>
      <c r="AP32">
        <v>9.6999999999999993</v>
      </c>
      <c r="AQ32">
        <v>10.69</v>
      </c>
      <c r="AR32" s="659">
        <f t="shared" si="9"/>
        <v>10.195</v>
      </c>
      <c r="AS32">
        <v>11.28</v>
      </c>
      <c r="AT32">
        <v>12.17</v>
      </c>
      <c r="AU32" s="659">
        <f t="shared" si="10"/>
        <v>11.725</v>
      </c>
      <c r="AV32">
        <v>9.8699999999999992</v>
      </c>
      <c r="AW32">
        <v>10.65</v>
      </c>
      <c r="AX32" s="659">
        <f t="shared" si="11"/>
        <v>10.26</v>
      </c>
      <c r="AY32">
        <v>8.77</v>
      </c>
      <c r="AZ32">
        <v>9.4700000000000006</v>
      </c>
      <c r="BA32" s="659">
        <f t="shared" si="12"/>
        <v>9.120000000000001</v>
      </c>
      <c r="BB32">
        <v>11.28</v>
      </c>
      <c r="BC32">
        <v>12.17</v>
      </c>
      <c r="BD32" s="659">
        <f t="shared" si="13"/>
        <v>11.725</v>
      </c>
      <c r="BE32">
        <v>8.9499999999999993</v>
      </c>
      <c r="BF32">
        <v>9.57</v>
      </c>
      <c r="BG32" s="659">
        <f t="shared" si="14"/>
        <v>9.26</v>
      </c>
      <c r="BH32">
        <v>7.96</v>
      </c>
      <c r="BI32">
        <v>8.51</v>
      </c>
      <c r="BJ32" s="659">
        <f t="shared" si="15"/>
        <v>8.2349999999999994</v>
      </c>
      <c r="BK32">
        <v>8.84</v>
      </c>
      <c r="BL32">
        <v>9.4600000000000009</v>
      </c>
      <c r="BM32" s="659">
        <f t="shared" si="16"/>
        <v>9.15</v>
      </c>
      <c r="BN32">
        <v>10.08</v>
      </c>
      <c r="BO32">
        <v>10.15</v>
      </c>
      <c r="BP32" s="659">
        <f t="shared" si="17"/>
        <v>10.115</v>
      </c>
      <c r="BQ32">
        <v>8.9</v>
      </c>
      <c r="BR32">
        <v>8.9600000000000009</v>
      </c>
      <c r="BS32" s="659">
        <f t="shared" si="18"/>
        <v>8.93</v>
      </c>
      <c r="BT32">
        <v>7.95</v>
      </c>
      <c r="BU32">
        <v>8</v>
      </c>
      <c r="BV32" s="659">
        <f t="shared" si="19"/>
        <v>7.9749999999999996</v>
      </c>
      <c r="BW32">
        <v>15.01</v>
      </c>
      <c r="BX32">
        <v>15.23</v>
      </c>
      <c r="BY32" s="659">
        <f t="shared" si="20"/>
        <v>15.120000000000001</v>
      </c>
      <c r="BZ32">
        <v>12.5</v>
      </c>
      <c r="CA32">
        <v>12.69</v>
      </c>
      <c r="CB32" s="659">
        <f t="shared" si="21"/>
        <v>12.594999999999999</v>
      </c>
      <c r="CC32">
        <v>18.77</v>
      </c>
      <c r="CD32">
        <v>18.47</v>
      </c>
      <c r="CE32" s="659">
        <f t="shared" si="22"/>
        <v>18.619999999999997</v>
      </c>
      <c r="CF32">
        <v>16.89</v>
      </c>
      <c r="CG32">
        <v>16.62</v>
      </c>
      <c r="CH32" s="659">
        <f t="shared" si="23"/>
        <v>16.755000000000003</v>
      </c>
    </row>
    <row r="33" spans="1:86">
      <c r="A33">
        <v>205</v>
      </c>
      <c r="B33">
        <v>205</v>
      </c>
      <c r="C33">
        <v>205</v>
      </c>
      <c r="D33">
        <v>225</v>
      </c>
      <c r="E33">
        <v>265</v>
      </c>
      <c r="F33">
        <v>280</v>
      </c>
      <c r="G33">
        <v>340</v>
      </c>
      <c r="H33">
        <v>340</v>
      </c>
      <c r="I33">
        <v>615</v>
      </c>
      <c r="J33">
        <v>215</v>
      </c>
      <c r="K33">
        <v>265</v>
      </c>
      <c r="L33">
        <v>265</v>
      </c>
      <c r="M33">
        <v>265</v>
      </c>
      <c r="O33" s="656">
        <v>13.49</v>
      </c>
      <c r="P33" s="458">
        <v>14.09</v>
      </c>
      <c r="Q33" s="221">
        <f t="shared" si="0"/>
        <v>13.79</v>
      </c>
      <c r="R33" s="656">
        <v>13.49</v>
      </c>
      <c r="S33" s="458">
        <v>14.09</v>
      </c>
      <c r="T33" s="458">
        <f t="shared" si="1"/>
        <v>13.79</v>
      </c>
      <c r="U33" s="657">
        <v>11.33</v>
      </c>
      <c r="V33" s="458">
        <v>11.98</v>
      </c>
      <c r="W33" s="221">
        <f t="shared" si="2"/>
        <v>11.655000000000001</v>
      </c>
      <c r="X33" s="458">
        <v>10.35</v>
      </c>
      <c r="Y33" s="458">
        <v>10.94</v>
      </c>
      <c r="Z33" s="659">
        <f t="shared" si="3"/>
        <v>10.645</v>
      </c>
      <c r="AA33">
        <v>13.44</v>
      </c>
      <c r="AB33">
        <v>12.35</v>
      </c>
      <c r="AC33" s="659">
        <f t="shared" si="4"/>
        <v>12.895</v>
      </c>
      <c r="AD33">
        <v>11.52</v>
      </c>
      <c r="AE33">
        <v>10.59</v>
      </c>
      <c r="AF33" s="659">
        <f t="shared" si="5"/>
        <v>11.055</v>
      </c>
      <c r="AG33">
        <v>11.35</v>
      </c>
      <c r="AH33">
        <v>10.1</v>
      </c>
      <c r="AI33" s="659">
        <f t="shared" si="6"/>
        <v>10.725</v>
      </c>
      <c r="AJ33">
        <v>9.98</v>
      </c>
      <c r="AK33">
        <v>8.8699999999999992</v>
      </c>
      <c r="AL33" s="659">
        <f t="shared" si="7"/>
        <v>9.4250000000000007</v>
      </c>
      <c r="AM33">
        <v>10.31</v>
      </c>
      <c r="AN33">
        <v>11.34</v>
      </c>
      <c r="AO33" s="659">
        <f t="shared" si="8"/>
        <v>10.824999999999999</v>
      </c>
      <c r="AP33">
        <v>9.17</v>
      </c>
      <c r="AQ33">
        <v>10.08</v>
      </c>
      <c r="AR33" s="659">
        <f t="shared" si="9"/>
        <v>9.625</v>
      </c>
      <c r="AS33">
        <v>10.18</v>
      </c>
      <c r="AT33">
        <v>10.99</v>
      </c>
      <c r="AU33" s="659">
        <f t="shared" si="10"/>
        <v>10.585000000000001</v>
      </c>
      <c r="AV33">
        <v>8.91</v>
      </c>
      <c r="AW33">
        <v>9.6199999999999992</v>
      </c>
      <c r="AX33" s="659">
        <f t="shared" si="11"/>
        <v>9.2650000000000006</v>
      </c>
      <c r="AY33">
        <v>7.92</v>
      </c>
      <c r="AZ33">
        <v>8.5500000000000007</v>
      </c>
      <c r="BA33" s="659">
        <f t="shared" si="12"/>
        <v>8.2349999999999994</v>
      </c>
      <c r="BB33">
        <v>10.18</v>
      </c>
      <c r="BC33">
        <v>10.99</v>
      </c>
      <c r="BD33" s="659">
        <f t="shared" si="13"/>
        <v>10.585000000000001</v>
      </c>
      <c r="BE33">
        <v>9.89</v>
      </c>
      <c r="BF33">
        <v>8.61</v>
      </c>
      <c r="BG33" s="659">
        <f t="shared" si="14"/>
        <v>9.25</v>
      </c>
      <c r="BH33">
        <v>7.16</v>
      </c>
      <c r="BI33">
        <v>7.65</v>
      </c>
      <c r="BJ33" s="659">
        <f t="shared" si="15"/>
        <v>7.4050000000000002</v>
      </c>
      <c r="BK33">
        <v>7.96</v>
      </c>
      <c r="BL33">
        <v>8.5</v>
      </c>
      <c r="BM33" s="659">
        <f t="shared" si="16"/>
        <v>8.23</v>
      </c>
      <c r="BN33">
        <v>12.81</v>
      </c>
      <c r="BO33">
        <v>13.64</v>
      </c>
      <c r="BP33" s="659">
        <f t="shared" si="17"/>
        <v>13.225000000000001</v>
      </c>
      <c r="BQ33">
        <v>11.32</v>
      </c>
      <c r="BR33">
        <v>12.06</v>
      </c>
      <c r="BS33" s="659">
        <f t="shared" si="18"/>
        <v>11.690000000000001</v>
      </c>
      <c r="BT33">
        <v>10.119999999999999</v>
      </c>
      <c r="BU33">
        <v>10.78</v>
      </c>
      <c r="BV33" s="659">
        <f t="shared" si="19"/>
        <v>10.45</v>
      </c>
      <c r="BW33">
        <v>15.6</v>
      </c>
      <c r="BX33">
        <v>15.37</v>
      </c>
      <c r="BY33" s="659">
        <f t="shared" si="20"/>
        <v>15.484999999999999</v>
      </c>
      <c r="BZ33">
        <v>13.01</v>
      </c>
      <c r="CA33">
        <v>12.82</v>
      </c>
      <c r="CB33" s="659">
        <f t="shared" si="21"/>
        <v>12.914999999999999</v>
      </c>
      <c r="CC33">
        <v>17.71</v>
      </c>
      <c r="CD33">
        <v>17.53</v>
      </c>
      <c r="CE33" s="659">
        <f t="shared" si="22"/>
        <v>17.62</v>
      </c>
      <c r="CF33">
        <v>15.94</v>
      </c>
      <c r="CG33">
        <v>15.78</v>
      </c>
      <c r="CH33" s="659">
        <f t="shared" si="23"/>
        <v>15.86</v>
      </c>
    </row>
    <row r="34" spans="1:86">
      <c r="A34">
        <v>210</v>
      </c>
      <c r="B34">
        <v>210</v>
      </c>
      <c r="C34">
        <v>210</v>
      </c>
      <c r="D34">
        <v>230</v>
      </c>
      <c r="E34">
        <v>270</v>
      </c>
      <c r="F34">
        <v>285</v>
      </c>
      <c r="G34">
        <v>350</v>
      </c>
      <c r="H34">
        <v>350</v>
      </c>
      <c r="I34">
        <v>630</v>
      </c>
      <c r="J34">
        <v>220</v>
      </c>
      <c r="K34">
        <v>270</v>
      </c>
      <c r="L34">
        <v>270</v>
      </c>
      <c r="M34">
        <v>270</v>
      </c>
      <c r="O34" s="656">
        <v>12.65</v>
      </c>
      <c r="P34" s="458">
        <v>13.33</v>
      </c>
      <c r="Q34" s="221">
        <f t="shared" si="0"/>
        <v>12.99</v>
      </c>
      <c r="R34" s="656">
        <v>12.65</v>
      </c>
      <c r="S34" s="458">
        <v>13.33</v>
      </c>
      <c r="T34" s="458">
        <f t="shared" si="1"/>
        <v>12.99</v>
      </c>
      <c r="U34" s="657">
        <v>10.62</v>
      </c>
      <c r="V34" s="458">
        <v>11.31</v>
      </c>
      <c r="W34" s="221">
        <f t="shared" si="2"/>
        <v>10.965</v>
      </c>
      <c r="X34" s="458">
        <v>12.67</v>
      </c>
      <c r="Y34" s="458">
        <v>10.33</v>
      </c>
      <c r="Z34" s="659">
        <f t="shared" si="3"/>
        <v>11.5</v>
      </c>
      <c r="AA34">
        <v>12.59</v>
      </c>
      <c r="AB34">
        <v>11.64</v>
      </c>
      <c r="AC34" s="659">
        <f t="shared" si="4"/>
        <v>12.115</v>
      </c>
      <c r="AD34">
        <v>10.79</v>
      </c>
      <c r="AE34">
        <v>9.9700000000000006</v>
      </c>
      <c r="AF34" s="659">
        <f t="shared" si="5"/>
        <v>10.379999999999999</v>
      </c>
      <c r="AG34">
        <v>10.67</v>
      </c>
      <c r="AH34">
        <v>9.57</v>
      </c>
      <c r="AI34" s="659">
        <f t="shared" si="6"/>
        <v>10.120000000000001</v>
      </c>
      <c r="AJ34">
        <v>9.3699999999999992</v>
      </c>
      <c r="AK34">
        <v>8.41</v>
      </c>
      <c r="AL34" s="659">
        <f t="shared" si="7"/>
        <v>8.89</v>
      </c>
      <c r="AM34">
        <v>10.51</v>
      </c>
      <c r="AN34">
        <v>11.38</v>
      </c>
      <c r="AO34" s="659">
        <f t="shared" si="8"/>
        <v>10.945</v>
      </c>
      <c r="AP34">
        <v>9.34</v>
      </c>
      <c r="AQ34">
        <v>10.119999999999999</v>
      </c>
      <c r="AR34" s="659">
        <f t="shared" si="9"/>
        <v>9.73</v>
      </c>
      <c r="AS34">
        <v>10.4</v>
      </c>
      <c r="AT34">
        <v>10.75</v>
      </c>
      <c r="AU34" s="659">
        <f t="shared" si="10"/>
        <v>10.574999999999999</v>
      </c>
      <c r="AV34">
        <v>9.1</v>
      </c>
      <c r="AW34">
        <v>9.41</v>
      </c>
      <c r="AX34" s="659">
        <f t="shared" si="11"/>
        <v>9.254999999999999</v>
      </c>
      <c r="AY34">
        <v>8.08</v>
      </c>
      <c r="AZ34">
        <v>8.36</v>
      </c>
      <c r="BA34" s="659">
        <f t="shared" si="12"/>
        <v>8.2199999999999989</v>
      </c>
      <c r="BB34">
        <v>10.4</v>
      </c>
      <c r="BC34">
        <v>10.75</v>
      </c>
      <c r="BD34" s="659">
        <f t="shared" si="13"/>
        <v>10.574999999999999</v>
      </c>
      <c r="BE34">
        <v>8.2799999999999994</v>
      </c>
      <c r="BF34">
        <v>8.4600000000000009</v>
      </c>
      <c r="BG34" s="659">
        <f t="shared" si="14"/>
        <v>8.370000000000001</v>
      </c>
      <c r="BH34">
        <v>7.36</v>
      </c>
      <c r="BI34">
        <v>7.52</v>
      </c>
      <c r="BJ34" s="659">
        <f t="shared" si="15"/>
        <v>7.4399999999999995</v>
      </c>
      <c r="BK34">
        <v>8.18</v>
      </c>
      <c r="BL34">
        <v>8.36</v>
      </c>
      <c r="BM34" s="659">
        <f t="shared" si="16"/>
        <v>8.27</v>
      </c>
      <c r="BN34">
        <v>12.71</v>
      </c>
      <c r="BO34">
        <v>14.14</v>
      </c>
      <c r="BP34" s="659">
        <f t="shared" si="17"/>
        <v>13.425000000000001</v>
      </c>
      <c r="BQ34">
        <v>11.23</v>
      </c>
      <c r="BR34">
        <v>12.5</v>
      </c>
      <c r="BS34" s="659">
        <f t="shared" si="18"/>
        <v>11.865</v>
      </c>
      <c r="BT34">
        <v>10.039999999999999</v>
      </c>
      <c r="BU34">
        <v>11.17</v>
      </c>
      <c r="BV34" s="659">
        <f t="shared" si="19"/>
        <v>10.605</v>
      </c>
      <c r="BW34">
        <v>14.6</v>
      </c>
      <c r="BX34">
        <v>14.38</v>
      </c>
      <c r="BY34" s="659">
        <f t="shared" si="20"/>
        <v>14.49</v>
      </c>
      <c r="BZ34">
        <v>12.17</v>
      </c>
      <c r="CA34">
        <v>11.98</v>
      </c>
      <c r="CB34" s="659">
        <f t="shared" si="21"/>
        <v>12.074999999999999</v>
      </c>
      <c r="CC34">
        <v>16.72</v>
      </c>
      <c r="CD34">
        <v>16.66</v>
      </c>
      <c r="CE34" s="659">
        <f t="shared" si="22"/>
        <v>16.689999999999998</v>
      </c>
      <c r="CF34">
        <v>15.05</v>
      </c>
      <c r="CG34">
        <v>14.99</v>
      </c>
      <c r="CH34" s="659">
        <f t="shared" si="23"/>
        <v>15.02</v>
      </c>
    </row>
    <row r="35" spans="1:86">
      <c r="A35">
        <v>215</v>
      </c>
      <c r="B35">
        <v>215</v>
      </c>
      <c r="C35">
        <v>215</v>
      </c>
      <c r="D35">
        <v>235</v>
      </c>
      <c r="E35">
        <v>275</v>
      </c>
      <c r="F35">
        <v>290</v>
      </c>
      <c r="G35">
        <v>360</v>
      </c>
      <c r="H35">
        <v>360</v>
      </c>
      <c r="I35">
        <v>645</v>
      </c>
      <c r="J35">
        <v>225</v>
      </c>
      <c r="K35">
        <v>275</v>
      </c>
      <c r="L35">
        <v>275</v>
      </c>
      <c r="M35">
        <v>275</v>
      </c>
      <c r="O35" s="656">
        <v>17.87</v>
      </c>
      <c r="P35" s="458">
        <v>12.63</v>
      </c>
      <c r="Q35" s="221">
        <f t="shared" si="0"/>
        <v>15.25</v>
      </c>
      <c r="R35" s="656">
        <v>17.87</v>
      </c>
      <c r="S35" s="458">
        <v>12.63</v>
      </c>
      <c r="T35" s="458">
        <f t="shared" si="1"/>
        <v>15.25</v>
      </c>
      <c r="U35" s="657">
        <v>9.9600000000000009</v>
      </c>
      <c r="V35" s="458">
        <v>10.69</v>
      </c>
      <c r="W35" s="221">
        <f t="shared" si="2"/>
        <v>10.324999999999999</v>
      </c>
      <c r="X35" s="458">
        <v>9.09</v>
      </c>
      <c r="Y35" s="458">
        <v>9.76</v>
      </c>
      <c r="Z35" s="659">
        <f t="shared" si="3"/>
        <v>9.4250000000000007</v>
      </c>
      <c r="AA35">
        <v>18.89</v>
      </c>
      <c r="AB35">
        <v>14.95</v>
      </c>
      <c r="AC35" s="659">
        <f t="shared" si="4"/>
        <v>16.920000000000002</v>
      </c>
      <c r="AD35">
        <v>16.2</v>
      </c>
      <c r="AE35">
        <v>12.81</v>
      </c>
      <c r="AF35" s="659">
        <f t="shared" si="5"/>
        <v>14.504999999999999</v>
      </c>
      <c r="AG35">
        <v>13.7</v>
      </c>
      <c r="AH35">
        <v>12.09</v>
      </c>
      <c r="AI35" s="659">
        <f t="shared" si="6"/>
        <v>12.895</v>
      </c>
      <c r="AJ35">
        <v>12.04</v>
      </c>
      <c r="AK35">
        <v>10.62</v>
      </c>
      <c r="AL35" s="659">
        <f t="shared" si="7"/>
        <v>11.329999999999998</v>
      </c>
      <c r="AM35">
        <v>9.83</v>
      </c>
      <c r="AN35">
        <v>10.76</v>
      </c>
      <c r="AO35" s="659">
        <f t="shared" si="8"/>
        <v>10.295</v>
      </c>
      <c r="AP35">
        <v>8.74</v>
      </c>
      <c r="AQ35">
        <v>9.57</v>
      </c>
      <c r="AR35" s="659">
        <f t="shared" si="9"/>
        <v>9.1550000000000011</v>
      </c>
      <c r="AS35">
        <v>9.23</v>
      </c>
      <c r="AT35">
        <v>9.7899999999999991</v>
      </c>
      <c r="AU35" s="659">
        <f t="shared" si="10"/>
        <v>9.51</v>
      </c>
      <c r="AV35">
        <v>8.08</v>
      </c>
      <c r="AW35">
        <v>8.57</v>
      </c>
      <c r="AX35" s="659">
        <f t="shared" si="11"/>
        <v>8.3249999999999993</v>
      </c>
      <c r="AY35">
        <v>7.18</v>
      </c>
      <c r="AZ35">
        <v>7.62</v>
      </c>
      <c r="BA35" s="659">
        <f t="shared" si="12"/>
        <v>7.4</v>
      </c>
      <c r="BB35">
        <v>9.23</v>
      </c>
      <c r="BC35">
        <v>9.7899999999999991</v>
      </c>
      <c r="BD35" s="659">
        <f t="shared" si="13"/>
        <v>9.51</v>
      </c>
      <c r="BE35">
        <v>7.31</v>
      </c>
      <c r="BF35">
        <v>7.68</v>
      </c>
      <c r="BG35" s="659">
        <f t="shared" si="14"/>
        <v>7.4949999999999992</v>
      </c>
      <c r="BH35">
        <v>6.5</v>
      </c>
      <c r="BI35">
        <v>6.83</v>
      </c>
      <c r="BJ35" s="659">
        <f t="shared" si="15"/>
        <v>6.665</v>
      </c>
      <c r="BK35">
        <v>7.22</v>
      </c>
      <c r="BL35">
        <v>7.59</v>
      </c>
      <c r="BM35" s="659">
        <f t="shared" si="16"/>
        <v>7.4049999999999994</v>
      </c>
      <c r="BN35">
        <v>12.16</v>
      </c>
      <c r="BO35">
        <v>14.09</v>
      </c>
      <c r="BP35" s="659">
        <f t="shared" si="17"/>
        <v>13.125</v>
      </c>
      <c r="BQ35">
        <v>10.74</v>
      </c>
      <c r="BR35">
        <v>12.45</v>
      </c>
      <c r="BS35" s="659">
        <f t="shared" si="18"/>
        <v>11.594999999999999</v>
      </c>
      <c r="BT35">
        <v>9.6</v>
      </c>
      <c r="BU35">
        <v>11.13</v>
      </c>
      <c r="BV35" s="659">
        <f t="shared" si="19"/>
        <v>10.365</v>
      </c>
      <c r="BW35">
        <v>13.69</v>
      </c>
      <c r="BX35">
        <v>13.5</v>
      </c>
      <c r="BY35" s="659">
        <f t="shared" si="20"/>
        <v>13.594999999999999</v>
      </c>
      <c r="BZ35">
        <v>11.41</v>
      </c>
      <c r="CA35">
        <v>11.25</v>
      </c>
      <c r="CB35" s="659">
        <f t="shared" si="21"/>
        <v>11.33</v>
      </c>
      <c r="CC35">
        <v>23.92</v>
      </c>
      <c r="CD35">
        <v>22.69</v>
      </c>
      <c r="CE35" s="659">
        <f t="shared" si="22"/>
        <v>23.305</v>
      </c>
      <c r="CF35">
        <v>21.53</v>
      </c>
      <c r="CG35">
        <v>20.420000000000002</v>
      </c>
      <c r="CH35" s="659">
        <f t="shared" si="23"/>
        <v>20.975000000000001</v>
      </c>
    </row>
    <row r="36" spans="1:86">
      <c r="A36">
        <v>220</v>
      </c>
      <c r="B36">
        <v>220</v>
      </c>
      <c r="C36">
        <v>220</v>
      </c>
      <c r="D36">
        <v>240</v>
      </c>
      <c r="E36">
        <v>280</v>
      </c>
      <c r="F36">
        <v>295</v>
      </c>
      <c r="G36">
        <v>370</v>
      </c>
      <c r="H36">
        <v>370</v>
      </c>
      <c r="I36">
        <v>660</v>
      </c>
      <c r="J36">
        <v>230</v>
      </c>
      <c r="K36">
        <v>280</v>
      </c>
      <c r="L36">
        <v>280</v>
      </c>
      <c r="M36">
        <v>280</v>
      </c>
      <c r="O36" s="656">
        <v>11.15</v>
      </c>
      <c r="P36" s="458">
        <v>11.98</v>
      </c>
      <c r="Q36" s="221">
        <f t="shared" si="0"/>
        <v>11.565000000000001</v>
      </c>
      <c r="R36" s="656">
        <v>11.15</v>
      </c>
      <c r="S36" s="458">
        <v>11.98</v>
      </c>
      <c r="T36" s="458">
        <f t="shared" si="1"/>
        <v>11.565000000000001</v>
      </c>
      <c r="U36" s="657">
        <v>9.34</v>
      </c>
      <c r="V36" s="458">
        <v>10.130000000000001</v>
      </c>
      <c r="W36" s="221">
        <f t="shared" si="2"/>
        <v>9.7349999999999994</v>
      </c>
      <c r="X36" s="458">
        <v>8.5299999999999994</v>
      </c>
      <c r="Y36" s="458">
        <v>9.25</v>
      </c>
      <c r="Z36" s="659">
        <f t="shared" si="3"/>
        <v>8.89</v>
      </c>
      <c r="AA36">
        <v>17.87</v>
      </c>
      <c r="AB36">
        <v>14.12</v>
      </c>
      <c r="AC36" s="659">
        <f t="shared" si="4"/>
        <v>15.995000000000001</v>
      </c>
      <c r="AD36">
        <v>15.32</v>
      </c>
      <c r="AE36">
        <v>12.1</v>
      </c>
      <c r="AF36" s="659">
        <f t="shared" si="5"/>
        <v>13.71</v>
      </c>
      <c r="AG36">
        <v>13.05</v>
      </c>
      <c r="AH36">
        <v>11.53</v>
      </c>
      <c r="AI36" s="659">
        <f t="shared" si="6"/>
        <v>12.29</v>
      </c>
      <c r="AJ36">
        <v>11.46</v>
      </c>
      <c r="AK36">
        <v>10.130000000000001</v>
      </c>
      <c r="AL36" s="659">
        <f t="shared" si="7"/>
        <v>10.795000000000002</v>
      </c>
      <c r="AM36">
        <v>9.41</v>
      </c>
      <c r="AN36">
        <v>10.18</v>
      </c>
      <c r="AO36" s="659">
        <f t="shared" si="8"/>
        <v>9.7949999999999999</v>
      </c>
      <c r="AP36">
        <v>8.3699999999999992</v>
      </c>
      <c r="AQ36">
        <v>9.0399999999999991</v>
      </c>
      <c r="AR36" s="659">
        <f t="shared" si="9"/>
        <v>8.7049999999999983</v>
      </c>
      <c r="AS36">
        <v>11.38</v>
      </c>
      <c r="AT36">
        <v>12.17</v>
      </c>
      <c r="AU36" s="659">
        <f t="shared" si="10"/>
        <v>11.775</v>
      </c>
      <c r="AV36">
        <v>9.9600000000000009</v>
      </c>
      <c r="AW36">
        <v>10.65</v>
      </c>
      <c r="AX36" s="659">
        <f t="shared" si="11"/>
        <v>10.305</v>
      </c>
      <c r="AY36">
        <v>8.85</v>
      </c>
      <c r="AZ36">
        <v>9.4700000000000006</v>
      </c>
      <c r="BA36" s="659">
        <f t="shared" si="12"/>
        <v>9.16</v>
      </c>
      <c r="BB36">
        <v>11.38</v>
      </c>
      <c r="BC36">
        <v>12.17</v>
      </c>
      <c r="BD36" s="659">
        <f t="shared" si="13"/>
        <v>11.775</v>
      </c>
      <c r="BE36">
        <v>7.85</v>
      </c>
      <c r="BF36">
        <v>8.24</v>
      </c>
      <c r="BG36" s="659">
        <f t="shared" si="14"/>
        <v>8.0449999999999999</v>
      </c>
      <c r="BH36">
        <v>6.97</v>
      </c>
      <c r="BI36">
        <v>7.33</v>
      </c>
      <c r="BJ36" s="659">
        <f t="shared" si="15"/>
        <v>7.15</v>
      </c>
      <c r="BK36">
        <v>7.74</v>
      </c>
      <c r="BL36">
        <v>8.14</v>
      </c>
      <c r="BM36" s="659">
        <f t="shared" si="16"/>
        <v>7.94</v>
      </c>
      <c r="BN36">
        <v>11.64</v>
      </c>
      <c r="BO36">
        <v>14.03</v>
      </c>
      <c r="BP36" s="659">
        <f t="shared" si="17"/>
        <v>12.835000000000001</v>
      </c>
      <c r="BQ36">
        <v>10.28</v>
      </c>
      <c r="BR36">
        <v>12.4</v>
      </c>
      <c r="BS36" s="659">
        <f t="shared" si="18"/>
        <v>11.34</v>
      </c>
      <c r="BT36">
        <v>9.19</v>
      </c>
      <c r="BU36">
        <v>11.09</v>
      </c>
      <c r="BV36" s="659">
        <f t="shared" si="19"/>
        <v>10.14</v>
      </c>
      <c r="BW36">
        <v>12.83</v>
      </c>
      <c r="BX36">
        <v>12.67</v>
      </c>
      <c r="BY36" s="659">
        <f t="shared" si="20"/>
        <v>12.75</v>
      </c>
      <c r="BZ36">
        <v>10.68</v>
      </c>
      <c r="CA36">
        <v>10.56</v>
      </c>
      <c r="CB36" s="659">
        <f t="shared" si="21"/>
        <v>10.620000000000001</v>
      </c>
      <c r="CC36">
        <v>22.68</v>
      </c>
      <c r="CD36">
        <v>21.58</v>
      </c>
      <c r="CE36" s="659">
        <f t="shared" si="22"/>
        <v>22.13</v>
      </c>
      <c r="CF36">
        <v>20.41</v>
      </c>
      <c r="CG36">
        <v>19.420000000000002</v>
      </c>
      <c r="CH36" s="659">
        <f t="shared" si="23"/>
        <v>19.914999999999999</v>
      </c>
    </row>
    <row r="37" spans="1:86">
      <c r="A37">
        <v>225</v>
      </c>
      <c r="B37">
        <v>225</v>
      </c>
      <c r="C37">
        <v>225</v>
      </c>
      <c r="D37">
        <v>245</v>
      </c>
      <c r="E37">
        <v>285</v>
      </c>
      <c r="F37">
        <v>300</v>
      </c>
      <c r="G37">
        <v>380</v>
      </c>
      <c r="H37">
        <v>380</v>
      </c>
      <c r="I37">
        <v>675</v>
      </c>
      <c r="J37">
        <v>235</v>
      </c>
      <c r="K37">
        <v>285</v>
      </c>
      <c r="L37">
        <v>285</v>
      </c>
      <c r="M37">
        <v>285</v>
      </c>
      <c r="O37" s="656">
        <v>10.5</v>
      </c>
      <c r="P37" s="458">
        <v>11.4</v>
      </c>
      <c r="Q37" s="221">
        <f t="shared" si="0"/>
        <v>10.95</v>
      </c>
      <c r="R37" s="656">
        <v>10.5</v>
      </c>
      <c r="S37" s="458">
        <v>11.4</v>
      </c>
      <c r="T37" s="458">
        <f t="shared" si="1"/>
        <v>10.95</v>
      </c>
      <c r="U37" s="657">
        <v>8.7899999999999991</v>
      </c>
      <c r="V37" s="458">
        <v>9.6199999999999992</v>
      </c>
      <c r="W37" s="221">
        <f t="shared" si="2"/>
        <v>9.2049999999999983</v>
      </c>
      <c r="X37" s="458">
        <v>8.02</v>
      </c>
      <c r="Y37" s="458">
        <v>8.7799999999999994</v>
      </c>
      <c r="Z37" s="659">
        <f t="shared" si="3"/>
        <v>8.3999999999999986</v>
      </c>
      <c r="AA37">
        <v>16.91</v>
      </c>
      <c r="AB37">
        <v>13.81</v>
      </c>
      <c r="AC37" s="659">
        <f t="shared" si="4"/>
        <v>15.36</v>
      </c>
      <c r="AD37">
        <v>14.49</v>
      </c>
      <c r="AE37">
        <v>11.84</v>
      </c>
      <c r="AF37" s="659">
        <f t="shared" si="5"/>
        <v>13.164999999999999</v>
      </c>
      <c r="AG37">
        <v>12.41</v>
      </c>
      <c r="AH37">
        <v>10.98</v>
      </c>
      <c r="AI37" s="659">
        <f t="shared" si="6"/>
        <v>11.695</v>
      </c>
      <c r="AJ37">
        <v>10.91</v>
      </c>
      <c r="AK37">
        <v>9.65</v>
      </c>
      <c r="AL37" s="659">
        <f t="shared" si="7"/>
        <v>10.280000000000001</v>
      </c>
      <c r="AM37">
        <v>9.61</v>
      </c>
      <c r="AN37">
        <v>10.24</v>
      </c>
      <c r="AO37" s="659">
        <f t="shared" si="8"/>
        <v>9.9250000000000007</v>
      </c>
      <c r="AP37">
        <v>8.5399999999999991</v>
      </c>
      <c r="AQ37">
        <v>9.1</v>
      </c>
      <c r="AR37" s="659">
        <f t="shared" si="9"/>
        <v>8.82</v>
      </c>
      <c r="AS37">
        <v>11.47</v>
      </c>
      <c r="AT37">
        <v>11.85</v>
      </c>
      <c r="AU37" s="659">
        <f t="shared" si="10"/>
        <v>11.66</v>
      </c>
      <c r="AV37">
        <v>10.039999999999999</v>
      </c>
      <c r="AW37">
        <v>10.37</v>
      </c>
      <c r="AX37" s="659">
        <f t="shared" si="11"/>
        <v>10.204999999999998</v>
      </c>
      <c r="AY37">
        <v>8.92</v>
      </c>
      <c r="AZ37">
        <v>9.2200000000000006</v>
      </c>
      <c r="BA37" s="659">
        <f t="shared" si="12"/>
        <v>9.07</v>
      </c>
      <c r="BB37">
        <v>11.47</v>
      </c>
      <c r="BC37">
        <v>11.85</v>
      </c>
      <c r="BD37" s="659">
        <f t="shared" si="13"/>
        <v>11.66</v>
      </c>
      <c r="BE37">
        <v>8.0399999999999991</v>
      </c>
      <c r="BF37">
        <v>8.11</v>
      </c>
      <c r="BG37" s="659">
        <f t="shared" si="14"/>
        <v>8.0749999999999993</v>
      </c>
      <c r="BH37">
        <v>7.14</v>
      </c>
      <c r="BI37">
        <v>7.21</v>
      </c>
      <c r="BJ37" s="659">
        <f t="shared" si="15"/>
        <v>7.1749999999999998</v>
      </c>
      <c r="BK37">
        <v>7.93</v>
      </c>
      <c r="BL37">
        <v>8.01</v>
      </c>
      <c r="BM37" s="659">
        <f t="shared" si="16"/>
        <v>7.97</v>
      </c>
      <c r="BN37">
        <v>11.18</v>
      </c>
      <c r="BO37">
        <v>13.98</v>
      </c>
      <c r="BP37" s="659">
        <f t="shared" si="17"/>
        <v>12.58</v>
      </c>
      <c r="BQ37">
        <v>9.8800000000000008</v>
      </c>
      <c r="BR37">
        <v>12.36</v>
      </c>
      <c r="BS37" s="659">
        <f t="shared" si="18"/>
        <v>11.120000000000001</v>
      </c>
      <c r="BT37">
        <v>8.82</v>
      </c>
      <c r="BU37">
        <v>11.05</v>
      </c>
      <c r="BV37" s="659">
        <f t="shared" si="19"/>
        <v>9.9350000000000005</v>
      </c>
      <c r="BW37">
        <v>20.55</v>
      </c>
      <c r="BX37">
        <v>17.88</v>
      </c>
      <c r="BY37" s="659">
        <f t="shared" si="20"/>
        <v>19.215</v>
      </c>
      <c r="BZ37">
        <v>17.12</v>
      </c>
      <c r="CA37">
        <v>14.91</v>
      </c>
      <c r="CB37" s="659">
        <f t="shared" si="21"/>
        <v>16.015000000000001</v>
      </c>
      <c r="CC37">
        <v>21.49</v>
      </c>
      <c r="CD37">
        <v>20.52</v>
      </c>
      <c r="CE37" s="659">
        <f t="shared" si="22"/>
        <v>21.004999999999999</v>
      </c>
      <c r="CF37">
        <v>19.34</v>
      </c>
      <c r="CG37">
        <v>18.47</v>
      </c>
      <c r="CH37" s="659">
        <f t="shared" si="23"/>
        <v>18.905000000000001</v>
      </c>
    </row>
    <row r="38" spans="1:86">
      <c r="A38">
        <v>230</v>
      </c>
      <c r="B38">
        <v>230</v>
      </c>
      <c r="C38">
        <v>230</v>
      </c>
      <c r="D38">
        <v>250</v>
      </c>
      <c r="E38">
        <v>290</v>
      </c>
      <c r="F38">
        <v>310</v>
      </c>
      <c r="G38">
        <v>390</v>
      </c>
      <c r="H38">
        <v>390</v>
      </c>
      <c r="I38">
        <v>690</v>
      </c>
      <c r="J38">
        <v>240</v>
      </c>
      <c r="K38">
        <v>290</v>
      </c>
      <c r="L38">
        <v>290</v>
      </c>
      <c r="M38">
        <v>290</v>
      </c>
      <c r="O38" s="656">
        <v>9.8000000000000007</v>
      </c>
      <c r="P38" s="458">
        <v>10.84</v>
      </c>
      <c r="Q38" s="221">
        <f t="shared" si="0"/>
        <v>10.32</v>
      </c>
      <c r="R38" s="656">
        <v>9.8000000000000007</v>
      </c>
      <c r="S38" s="458">
        <v>10.84</v>
      </c>
      <c r="T38" s="458">
        <f t="shared" si="1"/>
        <v>10.32</v>
      </c>
      <c r="U38" s="657">
        <v>8.26</v>
      </c>
      <c r="V38" s="458">
        <v>9.1300000000000008</v>
      </c>
      <c r="W38" s="221">
        <f t="shared" si="2"/>
        <v>8.6950000000000003</v>
      </c>
      <c r="X38" s="458">
        <v>7.54</v>
      </c>
      <c r="Y38" s="458">
        <v>8.34</v>
      </c>
      <c r="Z38" s="659">
        <f t="shared" si="3"/>
        <v>7.9399999999999995</v>
      </c>
      <c r="AA38">
        <v>16.059999999999999</v>
      </c>
      <c r="AB38">
        <v>13.14</v>
      </c>
      <c r="AC38" s="659">
        <f t="shared" si="4"/>
        <v>14.6</v>
      </c>
      <c r="AD38">
        <v>13.77</v>
      </c>
      <c r="AE38">
        <v>11.27</v>
      </c>
      <c r="AF38" s="659">
        <f t="shared" si="5"/>
        <v>12.52</v>
      </c>
      <c r="AG38">
        <v>11.83</v>
      </c>
      <c r="AH38">
        <v>10.49</v>
      </c>
      <c r="AI38" s="659">
        <f t="shared" si="6"/>
        <v>11.16</v>
      </c>
      <c r="AJ38">
        <v>10.4</v>
      </c>
      <c r="AK38">
        <v>9.2200000000000006</v>
      </c>
      <c r="AL38" s="659">
        <f t="shared" si="7"/>
        <v>9.81</v>
      </c>
      <c r="AM38">
        <v>8.6300000000000008</v>
      </c>
      <c r="AN38">
        <v>9.1999999999999993</v>
      </c>
      <c r="AO38" s="659">
        <f t="shared" si="8"/>
        <v>8.9149999999999991</v>
      </c>
      <c r="AP38">
        <v>7.68</v>
      </c>
      <c r="AQ38">
        <v>8.18</v>
      </c>
      <c r="AR38" s="659">
        <f t="shared" si="9"/>
        <v>7.93</v>
      </c>
      <c r="AS38">
        <v>10.38</v>
      </c>
      <c r="AT38">
        <v>10.96</v>
      </c>
      <c r="AU38" s="659">
        <f t="shared" si="10"/>
        <v>10.670000000000002</v>
      </c>
      <c r="AV38">
        <v>9.08</v>
      </c>
      <c r="AW38">
        <v>12.68</v>
      </c>
      <c r="AX38" s="659">
        <f t="shared" si="11"/>
        <v>10.879999999999999</v>
      </c>
      <c r="AY38">
        <v>8.07</v>
      </c>
      <c r="AZ38">
        <v>8.52</v>
      </c>
      <c r="BA38" s="659">
        <f t="shared" si="12"/>
        <v>8.2949999999999999</v>
      </c>
      <c r="BB38">
        <v>10.38</v>
      </c>
      <c r="BC38">
        <v>10.96</v>
      </c>
      <c r="BD38" s="659">
        <f t="shared" si="13"/>
        <v>10.670000000000002</v>
      </c>
      <c r="BE38">
        <v>7.18</v>
      </c>
      <c r="BF38">
        <v>7.45</v>
      </c>
      <c r="BG38" s="659">
        <f t="shared" si="14"/>
        <v>7.3149999999999995</v>
      </c>
      <c r="BH38">
        <v>6.39</v>
      </c>
      <c r="BI38">
        <v>6.63</v>
      </c>
      <c r="BJ38" s="659">
        <f t="shared" si="15"/>
        <v>6.51</v>
      </c>
      <c r="BK38">
        <v>7.1</v>
      </c>
      <c r="BL38">
        <v>7.37</v>
      </c>
      <c r="BM38" s="659">
        <f t="shared" si="16"/>
        <v>7.2349999999999994</v>
      </c>
      <c r="BN38">
        <v>11.02</v>
      </c>
      <c r="BO38">
        <v>10.98</v>
      </c>
      <c r="BP38" s="659">
        <f t="shared" si="17"/>
        <v>11</v>
      </c>
      <c r="BQ38">
        <v>9.7200000000000006</v>
      </c>
      <c r="BR38">
        <v>9.68</v>
      </c>
      <c r="BS38" s="659">
        <f t="shared" si="18"/>
        <v>9.6999999999999993</v>
      </c>
      <c r="BT38">
        <v>8.7200000000000006</v>
      </c>
      <c r="BU38">
        <v>8.68</v>
      </c>
      <c r="BV38" s="659">
        <f t="shared" si="19"/>
        <v>8.6999999999999993</v>
      </c>
      <c r="BW38">
        <v>19.2</v>
      </c>
      <c r="BX38">
        <v>16.809999999999999</v>
      </c>
      <c r="BY38" s="659">
        <f t="shared" si="20"/>
        <v>18.004999999999999</v>
      </c>
      <c r="BZ38">
        <v>15.99</v>
      </c>
      <c r="CA38">
        <v>14</v>
      </c>
      <c r="CB38" s="659">
        <f t="shared" si="21"/>
        <v>14.995000000000001</v>
      </c>
      <c r="CC38">
        <v>20.39</v>
      </c>
      <c r="CD38">
        <v>19.54</v>
      </c>
      <c r="CE38" s="659">
        <f t="shared" si="22"/>
        <v>19.965</v>
      </c>
      <c r="CF38">
        <v>18.350000000000001</v>
      </c>
      <c r="CG38">
        <v>17.59</v>
      </c>
      <c r="CH38" s="659">
        <f t="shared" si="23"/>
        <v>17.97</v>
      </c>
    </row>
    <row r="39" spans="1:86">
      <c r="A39">
        <v>235</v>
      </c>
      <c r="B39">
        <v>235</v>
      </c>
      <c r="C39">
        <v>235</v>
      </c>
      <c r="D39">
        <v>255</v>
      </c>
      <c r="E39">
        <v>295</v>
      </c>
      <c r="F39">
        <v>320</v>
      </c>
      <c r="G39">
        <v>400</v>
      </c>
      <c r="H39">
        <v>400</v>
      </c>
      <c r="I39">
        <v>710</v>
      </c>
      <c r="J39">
        <v>245</v>
      </c>
      <c r="K39">
        <v>295</v>
      </c>
      <c r="L39">
        <v>295</v>
      </c>
      <c r="M39">
        <v>295</v>
      </c>
      <c r="O39" s="656">
        <v>17.329999999999998</v>
      </c>
      <c r="P39" s="458">
        <v>16.5</v>
      </c>
      <c r="Q39" s="221">
        <f t="shared" si="0"/>
        <v>16.914999999999999</v>
      </c>
      <c r="R39" s="656">
        <v>17.329999999999998</v>
      </c>
      <c r="S39" s="458">
        <v>16.5</v>
      </c>
      <c r="T39" s="458">
        <f t="shared" si="1"/>
        <v>16.914999999999999</v>
      </c>
      <c r="U39" s="657">
        <v>14.38</v>
      </c>
      <c r="V39" s="458">
        <v>13.95</v>
      </c>
      <c r="W39" s="221">
        <f t="shared" si="2"/>
        <v>14.164999999999999</v>
      </c>
      <c r="X39" s="458">
        <v>13.13</v>
      </c>
      <c r="Y39" s="458">
        <v>12.74</v>
      </c>
      <c r="Z39" s="659">
        <f t="shared" si="3"/>
        <v>12.935</v>
      </c>
      <c r="AA39">
        <v>15.22</v>
      </c>
      <c r="AB39">
        <v>12.47</v>
      </c>
      <c r="AC39" s="659">
        <f t="shared" si="4"/>
        <v>13.845000000000001</v>
      </c>
      <c r="AD39">
        <v>13.05</v>
      </c>
      <c r="AE39">
        <v>10.69</v>
      </c>
      <c r="AF39" s="659">
        <f t="shared" si="5"/>
        <v>11.870000000000001</v>
      </c>
      <c r="AG39">
        <v>11.27</v>
      </c>
      <c r="AH39">
        <v>10.01</v>
      </c>
      <c r="AI39" s="659">
        <f t="shared" si="6"/>
        <v>10.64</v>
      </c>
      <c r="AJ39">
        <v>9.9</v>
      </c>
      <c r="AK39">
        <v>8.7899999999999991</v>
      </c>
      <c r="AL39" s="659">
        <f t="shared" si="7"/>
        <v>9.3449999999999989</v>
      </c>
      <c r="AM39">
        <v>8.52</v>
      </c>
      <c r="AN39">
        <v>9.2799999999999994</v>
      </c>
      <c r="AO39" s="659">
        <f t="shared" si="8"/>
        <v>8.8999999999999986</v>
      </c>
      <c r="AP39">
        <v>7.57</v>
      </c>
      <c r="AQ39">
        <v>8.25</v>
      </c>
      <c r="AR39" s="659">
        <f t="shared" si="9"/>
        <v>7.91</v>
      </c>
      <c r="AS39">
        <v>10.49</v>
      </c>
      <c r="AT39">
        <v>10.72</v>
      </c>
      <c r="AU39" s="659">
        <f t="shared" si="10"/>
        <v>10.605</v>
      </c>
      <c r="AV39">
        <v>9.18</v>
      </c>
      <c r="AW39">
        <v>11.95</v>
      </c>
      <c r="AX39" s="659">
        <f t="shared" si="11"/>
        <v>10.565</v>
      </c>
      <c r="AY39">
        <v>8.16</v>
      </c>
      <c r="AZ39">
        <v>8.33</v>
      </c>
      <c r="BA39" s="659">
        <f t="shared" si="12"/>
        <v>8.245000000000001</v>
      </c>
      <c r="BB39">
        <v>10.49</v>
      </c>
      <c r="BC39">
        <v>10.72</v>
      </c>
      <c r="BD39" s="659">
        <f t="shared" si="13"/>
        <v>10.605</v>
      </c>
      <c r="BE39">
        <v>7.37</v>
      </c>
      <c r="BF39">
        <v>7.36</v>
      </c>
      <c r="BG39" s="659">
        <f t="shared" si="14"/>
        <v>7.3650000000000002</v>
      </c>
      <c r="BH39">
        <v>6.55</v>
      </c>
      <c r="BI39">
        <v>6.54</v>
      </c>
      <c r="BJ39" s="659">
        <f t="shared" si="15"/>
        <v>6.5449999999999999</v>
      </c>
      <c r="BK39">
        <v>7.28</v>
      </c>
      <c r="BL39">
        <v>7.27</v>
      </c>
      <c r="BM39" s="659">
        <f t="shared" si="16"/>
        <v>7.2750000000000004</v>
      </c>
      <c r="BN39">
        <v>10.44</v>
      </c>
      <c r="BO39">
        <v>10.37</v>
      </c>
      <c r="BP39" s="659">
        <f t="shared" si="17"/>
        <v>10.404999999999999</v>
      </c>
      <c r="BQ39">
        <v>9.1999999999999993</v>
      </c>
      <c r="BR39">
        <v>9.14</v>
      </c>
      <c r="BS39" s="659">
        <f t="shared" si="18"/>
        <v>9.17</v>
      </c>
      <c r="BT39">
        <v>8.25</v>
      </c>
      <c r="BU39">
        <v>7.83</v>
      </c>
      <c r="BV39" s="659">
        <f t="shared" si="19"/>
        <v>8.0399999999999991</v>
      </c>
      <c r="BW39">
        <v>17.940000000000001</v>
      </c>
      <c r="BX39">
        <v>15.81</v>
      </c>
      <c r="BY39" s="659">
        <f t="shared" si="20"/>
        <v>16.875</v>
      </c>
      <c r="BZ39">
        <v>16.25</v>
      </c>
      <c r="CA39">
        <v>19.690000000000001</v>
      </c>
      <c r="CB39" s="659">
        <f t="shared" si="21"/>
        <v>17.97</v>
      </c>
      <c r="CC39">
        <v>19.329999999999998</v>
      </c>
      <c r="CD39">
        <v>18.600000000000001</v>
      </c>
      <c r="CE39" s="659">
        <f t="shared" si="22"/>
        <v>18.965</v>
      </c>
      <c r="CF39">
        <v>17.399999999999999</v>
      </c>
      <c r="CG39">
        <v>16.739999999999998</v>
      </c>
      <c r="CH39" s="659">
        <f t="shared" si="23"/>
        <v>17.07</v>
      </c>
    </row>
    <row r="40" spans="1:86">
      <c r="A40">
        <v>240</v>
      </c>
      <c r="B40">
        <v>240</v>
      </c>
      <c r="C40">
        <v>240</v>
      </c>
      <c r="D40">
        <v>260</v>
      </c>
      <c r="E40">
        <v>300</v>
      </c>
      <c r="F40">
        <v>330</v>
      </c>
      <c r="G40">
        <v>410</v>
      </c>
      <c r="H40">
        <v>410</v>
      </c>
      <c r="I40">
        <v>730</v>
      </c>
      <c r="J40">
        <v>250</v>
      </c>
      <c r="K40">
        <v>300</v>
      </c>
      <c r="L40">
        <v>300</v>
      </c>
      <c r="M40">
        <v>300</v>
      </c>
      <c r="O40" s="656">
        <v>16.34</v>
      </c>
      <c r="P40" s="458">
        <v>15.66</v>
      </c>
      <c r="Q40" s="221">
        <f t="shared" si="0"/>
        <v>16</v>
      </c>
      <c r="R40" s="656">
        <v>16.34</v>
      </c>
      <c r="S40" s="458">
        <v>15.66</v>
      </c>
      <c r="T40" s="458">
        <f t="shared" si="1"/>
        <v>16</v>
      </c>
      <c r="U40" s="657">
        <v>13.55</v>
      </c>
      <c r="V40" s="458">
        <v>13.22</v>
      </c>
      <c r="W40" s="221">
        <f t="shared" si="2"/>
        <v>13.385000000000002</v>
      </c>
      <c r="X40" s="458">
        <v>12.37</v>
      </c>
      <c r="Y40" s="458">
        <v>12.07</v>
      </c>
      <c r="Z40" s="659">
        <f t="shared" si="3"/>
        <v>12.219999999999999</v>
      </c>
      <c r="AA40">
        <v>14.43</v>
      </c>
      <c r="AB40">
        <v>11.84</v>
      </c>
      <c r="AC40" s="659">
        <f t="shared" si="4"/>
        <v>13.135</v>
      </c>
      <c r="AD40">
        <v>12.37</v>
      </c>
      <c r="AE40">
        <v>10.15</v>
      </c>
      <c r="AF40" s="659">
        <f t="shared" si="5"/>
        <v>11.26</v>
      </c>
      <c r="AG40">
        <v>10.74</v>
      </c>
      <c r="AH40">
        <v>9.56</v>
      </c>
      <c r="AI40" s="659">
        <f t="shared" si="6"/>
        <v>10.15</v>
      </c>
      <c r="AJ40">
        <v>9.44</v>
      </c>
      <c r="AK40">
        <v>8.4</v>
      </c>
      <c r="AL40" s="659">
        <f t="shared" si="7"/>
        <v>8.92</v>
      </c>
      <c r="AM40">
        <v>8.5299999999999994</v>
      </c>
      <c r="AN40">
        <v>9.11</v>
      </c>
      <c r="AO40" s="659">
        <f t="shared" si="8"/>
        <v>8.82</v>
      </c>
      <c r="AP40">
        <v>7.59</v>
      </c>
      <c r="AQ40">
        <v>8.1</v>
      </c>
      <c r="AR40" s="659">
        <f t="shared" si="9"/>
        <v>7.8449999999999998</v>
      </c>
      <c r="AS40">
        <v>9.5299999999999994</v>
      </c>
      <c r="AT40">
        <v>9.9499999999999993</v>
      </c>
      <c r="AU40" s="659">
        <f t="shared" si="10"/>
        <v>9.7399999999999984</v>
      </c>
      <c r="AV40">
        <v>8.34</v>
      </c>
      <c r="AW40">
        <v>11.29</v>
      </c>
      <c r="AX40" s="659">
        <f t="shared" si="11"/>
        <v>9.8149999999999995</v>
      </c>
      <c r="AY40">
        <v>7.41</v>
      </c>
      <c r="AZ40">
        <v>7.74</v>
      </c>
      <c r="BA40" s="659">
        <f t="shared" si="12"/>
        <v>7.5750000000000002</v>
      </c>
      <c r="BB40">
        <v>9.5299999999999994</v>
      </c>
      <c r="BC40">
        <v>9.9499999999999993</v>
      </c>
      <c r="BD40" s="659">
        <f t="shared" si="13"/>
        <v>9.7399999999999984</v>
      </c>
      <c r="BE40">
        <v>6.62</v>
      </c>
      <c r="BF40">
        <v>6.79</v>
      </c>
      <c r="BG40" s="659">
        <f t="shared" si="14"/>
        <v>6.7050000000000001</v>
      </c>
      <c r="BH40">
        <v>5.88</v>
      </c>
      <c r="BI40">
        <v>6.04</v>
      </c>
      <c r="BJ40" s="659">
        <f t="shared" si="15"/>
        <v>5.96</v>
      </c>
      <c r="BK40">
        <v>6.53</v>
      </c>
      <c r="BL40">
        <v>6.71</v>
      </c>
      <c r="BM40" s="659">
        <f t="shared" si="16"/>
        <v>6.62</v>
      </c>
      <c r="BN40">
        <v>9.9499999999999993</v>
      </c>
      <c r="BO40">
        <v>9.92</v>
      </c>
      <c r="BP40" s="659">
        <f t="shared" si="17"/>
        <v>9.9349999999999987</v>
      </c>
      <c r="BQ40">
        <v>8.77</v>
      </c>
      <c r="BR40">
        <v>8.73</v>
      </c>
      <c r="BS40" s="659">
        <f t="shared" si="18"/>
        <v>8.75</v>
      </c>
      <c r="BT40">
        <v>7.86</v>
      </c>
      <c r="BU40">
        <v>7.83</v>
      </c>
      <c r="BV40" s="659">
        <f t="shared" si="19"/>
        <v>7.8450000000000006</v>
      </c>
      <c r="BW40">
        <v>16.809999999999999</v>
      </c>
      <c r="BX40">
        <v>14.92</v>
      </c>
      <c r="BY40" s="659">
        <f t="shared" si="20"/>
        <v>15.864999999999998</v>
      </c>
      <c r="BZ40">
        <v>14</v>
      </c>
      <c r="CA40">
        <v>12.44</v>
      </c>
      <c r="CB40" s="659">
        <f t="shared" si="21"/>
        <v>13.219999999999999</v>
      </c>
      <c r="CC40">
        <v>18.329999999999998</v>
      </c>
      <c r="CD40">
        <v>17.71</v>
      </c>
      <c r="CE40" s="659">
        <f t="shared" si="22"/>
        <v>18.02</v>
      </c>
      <c r="CF40">
        <v>16.5</v>
      </c>
      <c r="CG40">
        <v>15.94</v>
      </c>
      <c r="CH40" s="659">
        <f t="shared" si="23"/>
        <v>16.22</v>
      </c>
    </row>
    <row r="41" spans="1:86">
      <c r="A41">
        <v>245</v>
      </c>
      <c r="B41">
        <v>245</v>
      </c>
      <c r="C41">
        <v>245</v>
      </c>
      <c r="D41">
        <v>265</v>
      </c>
      <c r="E41">
        <v>310</v>
      </c>
      <c r="F41">
        <v>340</v>
      </c>
      <c r="G41">
        <v>420</v>
      </c>
      <c r="H41">
        <v>420</v>
      </c>
      <c r="I41">
        <v>750</v>
      </c>
      <c r="J41">
        <v>255</v>
      </c>
      <c r="K41">
        <v>310</v>
      </c>
      <c r="L41">
        <v>310</v>
      </c>
      <c r="M41">
        <v>310</v>
      </c>
      <c r="O41" s="656">
        <v>15.42</v>
      </c>
      <c r="P41" s="458">
        <v>14.87</v>
      </c>
      <c r="Q41" s="221">
        <f t="shared" si="0"/>
        <v>15.145</v>
      </c>
      <c r="R41" s="656">
        <v>15.42</v>
      </c>
      <c r="S41" s="458">
        <v>14.87</v>
      </c>
      <c r="T41" s="458">
        <f t="shared" si="1"/>
        <v>15.145</v>
      </c>
      <c r="U41" s="657">
        <v>12.78</v>
      </c>
      <c r="V41" s="458">
        <v>12.54</v>
      </c>
      <c r="W41" s="221">
        <f t="shared" si="2"/>
        <v>12.66</v>
      </c>
      <c r="X41" s="458">
        <v>11.67</v>
      </c>
      <c r="Y41" s="458">
        <v>11.45</v>
      </c>
      <c r="Z41" s="659">
        <f t="shared" si="3"/>
        <v>11.559999999999999</v>
      </c>
      <c r="AA41">
        <v>13.69</v>
      </c>
      <c r="AB41">
        <v>11.26</v>
      </c>
      <c r="AC41" s="659">
        <f t="shared" si="4"/>
        <v>12.475</v>
      </c>
      <c r="AD41">
        <v>11.74</v>
      </c>
      <c r="AE41">
        <v>9.65</v>
      </c>
      <c r="AF41" s="659">
        <f t="shared" si="5"/>
        <v>10.695</v>
      </c>
      <c r="AG41">
        <v>9.76</v>
      </c>
      <c r="AH41">
        <v>8.74</v>
      </c>
      <c r="AI41" s="659">
        <f t="shared" si="6"/>
        <v>9.25</v>
      </c>
      <c r="AJ41">
        <v>8.58</v>
      </c>
      <c r="AK41">
        <v>7.68</v>
      </c>
      <c r="AL41" s="659">
        <f t="shared" si="7"/>
        <v>8.129999999999999</v>
      </c>
      <c r="AM41">
        <v>7.7</v>
      </c>
      <c r="AN41">
        <v>8.27</v>
      </c>
      <c r="AO41" s="659">
        <f t="shared" si="8"/>
        <v>7.9849999999999994</v>
      </c>
      <c r="AP41">
        <v>6.84</v>
      </c>
      <c r="AQ41">
        <v>7.35</v>
      </c>
      <c r="AR41" s="659">
        <f t="shared" si="9"/>
        <v>7.0949999999999998</v>
      </c>
      <c r="AS41">
        <v>11.58</v>
      </c>
      <c r="AT41">
        <v>12.98</v>
      </c>
      <c r="AU41" s="659">
        <f t="shared" si="10"/>
        <v>12.280000000000001</v>
      </c>
      <c r="AV41">
        <v>10.130000000000001</v>
      </c>
      <c r="AW41">
        <v>11.36</v>
      </c>
      <c r="AX41" s="659">
        <f t="shared" si="11"/>
        <v>10.745000000000001</v>
      </c>
      <c r="AY41">
        <v>9.01</v>
      </c>
      <c r="AZ41">
        <v>10.09</v>
      </c>
      <c r="BA41" s="659">
        <f t="shared" si="12"/>
        <v>9.5500000000000007</v>
      </c>
      <c r="BB41">
        <v>11.58</v>
      </c>
      <c r="BC41">
        <v>12.98</v>
      </c>
      <c r="BD41" s="659">
        <f t="shared" si="13"/>
        <v>12.280000000000001</v>
      </c>
      <c r="BE41">
        <v>9.01</v>
      </c>
      <c r="BF41">
        <v>10.11</v>
      </c>
      <c r="BG41" s="659">
        <f t="shared" si="14"/>
        <v>9.5599999999999987</v>
      </c>
      <c r="BH41">
        <v>8.01</v>
      </c>
      <c r="BI41">
        <v>8.99</v>
      </c>
      <c r="BJ41" s="659">
        <f t="shared" si="15"/>
        <v>8.5</v>
      </c>
      <c r="BK41">
        <v>8.9</v>
      </c>
      <c r="BL41">
        <v>9.99</v>
      </c>
      <c r="BM41" s="659">
        <f t="shared" si="16"/>
        <v>9.4450000000000003</v>
      </c>
      <c r="BN41">
        <v>10.85</v>
      </c>
      <c r="BO41">
        <v>10.87</v>
      </c>
      <c r="BP41" s="659">
        <f t="shared" si="17"/>
        <v>10.86</v>
      </c>
      <c r="BQ41">
        <v>9.2799999999999994</v>
      </c>
      <c r="BR41">
        <v>9.2799999999999994</v>
      </c>
      <c r="BS41" s="659">
        <f t="shared" si="18"/>
        <v>9.2799999999999994</v>
      </c>
      <c r="BT41">
        <v>7.48</v>
      </c>
      <c r="BU41">
        <v>7.44</v>
      </c>
      <c r="BV41" s="659">
        <f t="shared" si="19"/>
        <v>7.4600000000000009</v>
      </c>
      <c r="BW41">
        <v>17.66</v>
      </c>
      <c r="BX41">
        <v>15.23</v>
      </c>
      <c r="BY41" s="659">
        <f t="shared" si="20"/>
        <v>16.445</v>
      </c>
      <c r="BZ41">
        <v>14.73</v>
      </c>
      <c r="CA41">
        <v>12.69</v>
      </c>
      <c r="CB41" s="659">
        <f t="shared" si="21"/>
        <v>13.71</v>
      </c>
      <c r="CC41">
        <v>16.489999999999998</v>
      </c>
      <c r="CD41">
        <v>16.079999999999998</v>
      </c>
      <c r="CE41" s="659">
        <f t="shared" si="22"/>
        <v>16.284999999999997</v>
      </c>
      <c r="CF41">
        <v>14.84</v>
      </c>
      <c r="CG41">
        <v>14.48</v>
      </c>
      <c r="CH41" s="659">
        <f t="shared" si="23"/>
        <v>14.66</v>
      </c>
    </row>
    <row r="42" spans="1:86">
      <c r="A42">
        <v>250</v>
      </c>
      <c r="B42">
        <v>250</v>
      </c>
      <c r="C42">
        <v>250</v>
      </c>
      <c r="D42">
        <v>270</v>
      </c>
      <c r="E42">
        <v>320</v>
      </c>
      <c r="F42">
        <v>350</v>
      </c>
      <c r="G42">
        <v>430</v>
      </c>
      <c r="H42">
        <v>430</v>
      </c>
      <c r="I42">
        <v>770</v>
      </c>
      <c r="J42">
        <v>260</v>
      </c>
      <c r="K42">
        <v>320</v>
      </c>
      <c r="L42">
        <v>320</v>
      </c>
      <c r="M42">
        <v>320</v>
      </c>
      <c r="O42" s="656">
        <v>14.58</v>
      </c>
      <c r="P42" s="458">
        <v>14.16</v>
      </c>
      <c r="Q42" s="221">
        <f t="shared" si="0"/>
        <v>14.370000000000001</v>
      </c>
      <c r="R42" s="656">
        <v>14.58</v>
      </c>
      <c r="S42" s="458">
        <v>14.16</v>
      </c>
      <c r="T42" s="458">
        <f t="shared" si="1"/>
        <v>14.370000000000001</v>
      </c>
      <c r="U42" s="657">
        <v>12.07</v>
      </c>
      <c r="V42" s="458">
        <v>11.92</v>
      </c>
      <c r="W42" s="221">
        <f t="shared" si="2"/>
        <v>11.995000000000001</v>
      </c>
      <c r="X42" s="458">
        <v>11.02</v>
      </c>
      <c r="Y42" s="458">
        <v>10.88</v>
      </c>
      <c r="Z42" s="659">
        <f t="shared" si="3"/>
        <v>10.95</v>
      </c>
      <c r="AA42">
        <v>13</v>
      </c>
      <c r="AB42">
        <v>10.71</v>
      </c>
      <c r="AC42" s="659">
        <f t="shared" si="4"/>
        <v>11.855</v>
      </c>
      <c r="AD42">
        <v>11.14</v>
      </c>
      <c r="AE42">
        <v>9.18</v>
      </c>
      <c r="AF42" s="659">
        <f t="shared" si="5"/>
        <v>10.16</v>
      </c>
      <c r="AG42">
        <v>10.95</v>
      </c>
      <c r="AH42">
        <v>10.54</v>
      </c>
      <c r="AI42" s="659">
        <f t="shared" si="6"/>
        <v>10.744999999999999</v>
      </c>
      <c r="AJ42">
        <v>9.6300000000000008</v>
      </c>
      <c r="AK42">
        <v>9.26</v>
      </c>
      <c r="AL42" s="659">
        <f t="shared" si="7"/>
        <v>9.4450000000000003</v>
      </c>
      <c r="AM42">
        <v>7.74</v>
      </c>
      <c r="AN42">
        <v>8.15</v>
      </c>
      <c r="AO42" s="659">
        <f t="shared" si="8"/>
        <v>7.9450000000000003</v>
      </c>
      <c r="AP42">
        <v>6.88</v>
      </c>
      <c r="AQ42">
        <v>7.25</v>
      </c>
      <c r="AR42" s="659">
        <f t="shared" si="9"/>
        <v>7.0649999999999995</v>
      </c>
      <c r="AS42">
        <v>11.61</v>
      </c>
      <c r="AT42">
        <v>12.8</v>
      </c>
      <c r="AU42" s="659">
        <f t="shared" si="10"/>
        <v>12.205</v>
      </c>
      <c r="AV42">
        <v>10.16</v>
      </c>
      <c r="AW42">
        <v>11.2</v>
      </c>
      <c r="AX42" s="659">
        <f t="shared" si="11"/>
        <v>10.68</v>
      </c>
      <c r="AY42">
        <v>9.0299999999999994</v>
      </c>
      <c r="AZ42">
        <v>9.9600000000000009</v>
      </c>
      <c r="BA42" s="659">
        <f t="shared" si="12"/>
        <v>9.495000000000001</v>
      </c>
      <c r="BB42">
        <v>11.61</v>
      </c>
      <c r="BC42">
        <v>12.8</v>
      </c>
      <c r="BD42" s="659">
        <f t="shared" si="13"/>
        <v>12.205</v>
      </c>
      <c r="BE42">
        <v>9.09</v>
      </c>
      <c r="BF42">
        <v>10.02</v>
      </c>
      <c r="BG42" s="659">
        <f t="shared" si="14"/>
        <v>9.5549999999999997</v>
      </c>
      <c r="BH42">
        <v>8.08</v>
      </c>
      <c r="BI42">
        <v>8.9</v>
      </c>
      <c r="BJ42" s="659">
        <f t="shared" si="15"/>
        <v>8.49</v>
      </c>
      <c r="BK42">
        <v>8.98</v>
      </c>
      <c r="BL42">
        <v>9.89</v>
      </c>
      <c r="BM42" s="659">
        <f t="shared" si="16"/>
        <v>9.4350000000000005</v>
      </c>
      <c r="BN42">
        <v>9.0399999999999991</v>
      </c>
      <c r="BO42">
        <v>8.99</v>
      </c>
      <c r="BP42" s="659">
        <f t="shared" si="17"/>
        <v>9.0150000000000006</v>
      </c>
      <c r="BQ42">
        <v>8.6300000000000008</v>
      </c>
      <c r="BR42">
        <v>8.6199999999999992</v>
      </c>
      <c r="BS42" s="659">
        <f t="shared" si="18"/>
        <v>8.625</v>
      </c>
      <c r="BT42">
        <v>7.14</v>
      </c>
      <c r="BU42">
        <v>7.09</v>
      </c>
      <c r="BV42" s="659">
        <f t="shared" si="19"/>
        <v>7.1150000000000002</v>
      </c>
      <c r="BW42">
        <v>16.57</v>
      </c>
      <c r="BX42">
        <v>14.38</v>
      </c>
      <c r="BY42" s="659">
        <f t="shared" si="20"/>
        <v>15.475000000000001</v>
      </c>
      <c r="BZ42">
        <v>13.81</v>
      </c>
      <c r="CA42">
        <v>11.99</v>
      </c>
      <c r="CB42" s="659">
        <f t="shared" si="21"/>
        <v>12.9</v>
      </c>
      <c r="CC42">
        <v>21.16</v>
      </c>
      <c r="CD42">
        <v>19.97</v>
      </c>
      <c r="CE42" s="659">
        <f t="shared" si="22"/>
        <v>20.564999999999998</v>
      </c>
      <c r="CF42">
        <v>19.05</v>
      </c>
      <c r="CG42">
        <v>17.97</v>
      </c>
      <c r="CH42" s="659">
        <f t="shared" si="23"/>
        <v>18.509999999999998</v>
      </c>
    </row>
    <row r="43" spans="1:86">
      <c r="A43">
        <v>255</v>
      </c>
      <c r="B43">
        <v>255</v>
      </c>
      <c r="C43">
        <v>255</v>
      </c>
      <c r="D43">
        <v>275</v>
      </c>
      <c r="E43">
        <v>330</v>
      </c>
      <c r="F43">
        <v>360</v>
      </c>
      <c r="G43">
        <v>440</v>
      </c>
      <c r="H43">
        <v>440</v>
      </c>
      <c r="I43">
        <v>790</v>
      </c>
      <c r="J43">
        <v>265</v>
      </c>
      <c r="K43">
        <v>330</v>
      </c>
      <c r="L43">
        <v>330</v>
      </c>
      <c r="M43">
        <v>330</v>
      </c>
      <c r="O43" s="656">
        <v>13.78</v>
      </c>
      <c r="P43" s="458">
        <v>13.48</v>
      </c>
      <c r="Q43" s="221">
        <f t="shared" si="0"/>
        <v>13.629999999999999</v>
      </c>
      <c r="R43" s="656">
        <v>13.78</v>
      </c>
      <c r="S43" s="458">
        <v>13.48</v>
      </c>
      <c r="T43" s="458">
        <f t="shared" si="1"/>
        <v>13.629999999999999</v>
      </c>
      <c r="U43" s="657">
        <v>11.39</v>
      </c>
      <c r="V43" s="458">
        <v>11.33</v>
      </c>
      <c r="W43" s="221">
        <f t="shared" si="2"/>
        <v>11.36</v>
      </c>
      <c r="X43" s="458">
        <v>10.4</v>
      </c>
      <c r="Y43" s="458">
        <v>10.34</v>
      </c>
      <c r="Z43" s="659">
        <f t="shared" si="3"/>
        <v>10.370000000000001</v>
      </c>
      <c r="AA43">
        <v>16.14</v>
      </c>
      <c r="AB43">
        <v>15.28</v>
      </c>
      <c r="AC43" s="659">
        <f t="shared" si="4"/>
        <v>15.71</v>
      </c>
      <c r="AD43">
        <v>13.83</v>
      </c>
      <c r="AE43">
        <v>13.1</v>
      </c>
      <c r="AF43" s="659">
        <f t="shared" si="5"/>
        <v>13.465</v>
      </c>
      <c r="AG43">
        <v>10.02</v>
      </c>
      <c r="AH43">
        <v>9.74</v>
      </c>
      <c r="AI43" s="659">
        <f t="shared" si="6"/>
        <v>9.879999999999999</v>
      </c>
      <c r="AJ43">
        <v>8.81</v>
      </c>
      <c r="AK43">
        <v>8.56</v>
      </c>
      <c r="AL43" s="659">
        <f t="shared" si="7"/>
        <v>8.6850000000000005</v>
      </c>
      <c r="AM43">
        <v>7</v>
      </c>
      <c r="AN43">
        <v>7.43</v>
      </c>
      <c r="AO43" s="659">
        <f t="shared" si="8"/>
        <v>7.2149999999999999</v>
      </c>
      <c r="AP43">
        <v>6.22</v>
      </c>
      <c r="AQ43">
        <v>6.6</v>
      </c>
      <c r="AR43" s="659">
        <f t="shared" si="9"/>
        <v>6.41</v>
      </c>
      <c r="AS43">
        <v>10.69</v>
      </c>
      <c r="AT43">
        <v>11.86</v>
      </c>
      <c r="AU43" s="659">
        <f t="shared" si="10"/>
        <v>11.274999999999999</v>
      </c>
      <c r="AV43">
        <v>9.35</v>
      </c>
      <c r="AW43">
        <v>10.38</v>
      </c>
      <c r="AX43" s="659">
        <f t="shared" si="11"/>
        <v>9.8650000000000002</v>
      </c>
      <c r="AY43">
        <v>8.31</v>
      </c>
      <c r="AZ43">
        <v>9.2200000000000006</v>
      </c>
      <c r="BA43" s="659">
        <f t="shared" si="12"/>
        <v>8.7650000000000006</v>
      </c>
      <c r="BB43">
        <v>10.69</v>
      </c>
      <c r="BC43">
        <v>11.86</v>
      </c>
      <c r="BD43" s="659">
        <f t="shared" si="13"/>
        <v>11.274999999999999</v>
      </c>
      <c r="BE43">
        <v>8.32</v>
      </c>
      <c r="BF43">
        <v>9.25</v>
      </c>
      <c r="BG43" s="659">
        <f t="shared" si="14"/>
        <v>8.7850000000000001</v>
      </c>
      <c r="BH43">
        <v>7.4</v>
      </c>
      <c r="BI43">
        <v>8.2200000000000006</v>
      </c>
      <c r="BJ43" s="659">
        <f t="shared" si="15"/>
        <v>7.8100000000000005</v>
      </c>
      <c r="BK43">
        <v>8.2200000000000006</v>
      </c>
      <c r="BL43">
        <v>9.1300000000000008</v>
      </c>
      <c r="BM43" s="659">
        <f t="shared" si="16"/>
        <v>8.6750000000000007</v>
      </c>
      <c r="BN43">
        <v>11.45</v>
      </c>
      <c r="BO43">
        <v>10.88</v>
      </c>
      <c r="BP43" s="659">
        <f t="shared" si="17"/>
        <v>11.164999999999999</v>
      </c>
      <c r="BQ43">
        <v>10.1</v>
      </c>
      <c r="BR43">
        <v>9.6</v>
      </c>
      <c r="BS43" s="659">
        <f t="shared" si="18"/>
        <v>9.85</v>
      </c>
      <c r="BT43">
        <v>9.08</v>
      </c>
      <c r="BU43">
        <v>8.6199999999999992</v>
      </c>
      <c r="BV43" s="659">
        <f t="shared" si="19"/>
        <v>8.85</v>
      </c>
      <c r="BW43">
        <v>15.54</v>
      </c>
      <c r="BX43">
        <v>13.6</v>
      </c>
      <c r="BY43" s="659">
        <f t="shared" si="20"/>
        <v>14.57</v>
      </c>
      <c r="BZ43">
        <v>12.95</v>
      </c>
      <c r="CA43">
        <v>11.34</v>
      </c>
      <c r="CB43" s="659">
        <f t="shared" si="21"/>
        <v>12.145</v>
      </c>
      <c r="CC43">
        <v>19.149999999999999</v>
      </c>
      <c r="CD43">
        <v>18.239999999999998</v>
      </c>
      <c r="CE43" s="659">
        <f t="shared" si="22"/>
        <v>18.695</v>
      </c>
      <c r="CF43">
        <v>17.23</v>
      </c>
      <c r="CG43">
        <v>16.420000000000002</v>
      </c>
      <c r="CH43" s="659">
        <f t="shared" si="23"/>
        <v>16.825000000000003</v>
      </c>
    </row>
    <row r="44" spans="1:86">
      <c r="A44">
        <v>260</v>
      </c>
      <c r="B44">
        <v>260</v>
      </c>
      <c r="C44">
        <v>260</v>
      </c>
      <c r="D44">
        <v>280</v>
      </c>
      <c r="E44">
        <v>340</v>
      </c>
      <c r="F44">
        <v>370</v>
      </c>
      <c r="G44">
        <v>450</v>
      </c>
      <c r="H44">
        <v>450</v>
      </c>
      <c r="I44">
        <v>810</v>
      </c>
      <c r="J44">
        <v>270</v>
      </c>
      <c r="K44">
        <v>340</v>
      </c>
      <c r="L44">
        <v>340</v>
      </c>
      <c r="M44">
        <v>340</v>
      </c>
      <c r="O44" s="656">
        <v>13.02</v>
      </c>
      <c r="P44" s="458">
        <v>12.84</v>
      </c>
      <c r="Q44" s="221">
        <f t="shared" si="0"/>
        <v>12.93</v>
      </c>
      <c r="R44" s="656">
        <v>13.02</v>
      </c>
      <c r="S44" s="458">
        <v>12.84</v>
      </c>
      <c r="T44" s="458">
        <f t="shared" si="1"/>
        <v>12.93</v>
      </c>
      <c r="U44" s="657">
        <v>10.75</v>
      </c>
      <c r="V44" s="458">
        <v>10.78</v>
      </c>
      <c r="W44" s="221">
        <f t="shared" si="2"/>
        <v>10.765000000000001</v>
      </c>
      <c r="X44" s="458">
        <v>9.82</v>
      </c>
      <c r="Y44" s="458">
        <v>9.84</v>
      </c>
      <c r="Z44" s="659">
        <f t="shared" si="3"/>
        <v>9.83</v>
      </c>
      <c r="AA44">
        <v>15.37</v>
      </c>
      <c r="AB44">
        <v>14.61</v>
      </c>
      <c r="AC44" s="659">
        <f t="shared" si="4"/>
        <v>14.989999999999998</v>
      </c>
      <c r="AD44">
        <v>13.18</v>
      </c>
      <c r="AE44">
        <v>12.53</v>
      </c>
      <c r="AF44" s="659">
        <f t="shared" si="5"/>
        <v>12.855</v>
      </c>
      <c r="AG44">
        <v>9.19</v>
      </c>
      <c r="AH44">
        <v>9.01</v>
      </c>
      <c r="AI44" s="659">
        <f t="shared" si="6"/>
        <v>9.1</v>
      </c>
      <c r="AJ44">
        <v>8.08</v>
      </c>
      <c r="AK44">
        <v>7.92</v>
      </c>
      <c r="AL44" s="659">
        <f t="shared" si="7"/>
        <v>8</v>
      </c>
      <c r="AM44">
        <v>7.56</v>
      </c>
      <c r="AN44">
        <v>8.01</v>
      </c>
      <c r="AO44" s="659">
        <f t="shared" si="8"/>
        <v>7.7850000000000001</v>
      </c>
      <c r="AP44">
        <v>6.72</v>
      </c>
      <c r="AQ44">
        <v>7.12</v>
      </c>
      <c r="AR44" s="659">
        <f t="shared" si="9"/>
        <v>6.92</v>
      </c>
      <c r="AS44">
        <v>10.73</v>
      </c>
      <c r="AT44">
        <v>11.73</v>
      </c>
      <c r="AU44" s="659">
        <f t="shared" si="10"/>
        <v>11.23</v>
      </c>
      <c r="AV44">
        <v>9.39</v>
      </c>
      <c r="AW44">
        <v>10.26</v>
      </c>
      <c r="AX44" s="659">
        <f t="shared" si="11"/>
        <v>9.8249999999999993</v>
      </c>
      <c r="AY44">
        <v>8.35</v>
      </c>
      <c r="AZ44">
        <v>9.1199999999999992</v>
      </c>
      <c r="BA44" s="659">
        <f t="shared" si="12"/>
        <v>8.7349999999999994</v>
      </c>
      <c r="BB44">
        <v>10.73</v>
      </c>
      <c r="BC44">
        <v>11.73</v>
      </c>
      <c r="BD44" s="659">
        <f t="shared" si="13"/>
        <v>11.23</v>
      </c>
      <c r="BE44">
        <v>8.41</v>
      </c>
      <c r="BF44">
        <v>9.19</v>
      </c>
      <c r="BG44" s="659">
        <f t="shared" si="14"/>
        <v>8.8000000000000007</v>
      </c>
      <c r="BH44">
        <v>7.48</v>
      </c>
      <c r="BI44">
        <v>8.17</v>
      </c>
      <c r="BJ44" s="659">
        <f t="shared" si="15"/>
        <v>7.8250000000000002</v>
      </c>
      <c r="BK44">
        <v>8.31</v>
      </c>
      <c r="BL44">
        <v>9.08</v>
      </c>
      <c r="BM44" s="659">
        <f t="shared" si="16"/>
        <v>8.6950000000000003</v>
      </c>
      <c r="BN44">
        <v>10.94</v>
      </c>
      <c r="BO44">
        <v>10.38</v>
      </c>
      <c r="BP44" s="659">
        <f t="shared" si="17"/>
        <v>10.66</v>
      </c>
      <c r="BQ44">
        <v>9.65</v>
      </c>
      <c r="BR44">
        <v>9.15</v>
      </c>
      <c r="BS44" s="659">
        <f t="shared" si="18"/>
        <v>9.4</v>
      </c>
      <c r="BT44">
        <v>8.67</v>
      </c>
      <c r="BU44">
        <v>8.2200000000000006</v>
      </c>
      <c r="BV44" s="659">
        <f t="shared" si="19"/>
        <v>8.4450000000000003</v>
      </c>
      <c r="BW44">
        <v>14.59</v>
      </c>
      <c r="BX44">
        <v>12.88</v>
      </c>
      <c r="BY44" s="659">
        <f t="shared" si="20"/>
        <v>13.734999999999999</v>
      </c>
      <c r="BZ44">
        <v>12.16</v>
      </c>
      <c r="CA44">
        <v>10.74</v>
      </c>
      <c r="CB44" s="659">
        <f t="shared" si="21"/>
        <v>11.45</v>
      </c>
      <c r="CC44">
        <v>17.350000000000001</v>
      </c>
      <c r="CD44">
        <v>16.71</v>
      </c>
      <c r="CE44" s="659">
        <f t="shared" si="22"/>
        <v>17.03</v>
      </c>
      <c r="CF44">
        <v>15.62</v>
      </c>
      <c r="CG44">
        <v>15.04</v>
      </c>
      <c r="CH44" s="659">
        <f t="shared" si="23"/>
        <v>15.329999999999998</v>
      </c>
    </row>
    <row r="45" spans="1:86">
      <c r="A45">
        <v>265</v>
      </c>
      <c r="B45">
        <v>265</v>
      </c>
      <c r="C45">
        <v>265</v>
      </c>
      <c r="D45">
        <v>285</v>
      </c>
      <c r="E45">
        <v>350</v>
      </c>
      <c r="F45">
        <v>380</v>
      </c>
      <c r="G45">
        <v>460</v>
      </c>
      <c r="H45">
        <v>460</v>
      </c>
      <c r="I45">
        <v>830</v>
      </c>
      <c r="J45">
        <v>275</v>
      </c>
      <c r="K45">
        <v>350</v>
      </c>
      <c r="L45">
        <v>350</v>
      </c>
      <c r="M45">
        <v>350</v>
      </c>
      <c r="O45" s="656">
        <v>12.31</v>
      </c>
      <c r="P45" s="458">
        <v>12.24</v>
      </c>
      <c r="Q45" s="221">
        <f t="shared" si="0"/>
        <v>12.275</v>
      </c>
      <c r="R45" s="656">
        <v>12.31</v>
      </c>
      <c r="S45" s="458">
        <v>12.24</v>
      </c>
      <c r="T45" s="458">
        <f t="shared" si="1"/>
        <v>12.275</v>
      </c>
      <c r="U45" s="657">
        <v>10.16</v>
      </c>
      <c r="V45" s="458">
        <v>10.26</v>
      </c>
      <c r="W45" s="221">
        <f t="shared" si="2"/>
        <v>10.210000000000001</v>
      </c>
      <c r="X45" s="458">
        <v>9.2799999999999994</v>
      </c>
      <c r="Y45" s="458">
        <v>9.3699999999999992</v>
      </c>
      <c r="Z45" s="659">
        <f t="shared" si="3"/>
        <v>9.3249999999999993</v>
      </c>
      <c r="AA45">
        <v>14.63</v>
      </c>
      <c r="AB45">
        <v>13.96</v>
      </c>
      <c r="AC45" s="659">
        <f t="shared" si="4"/>
        <v>14.295000000000002</v>
      </c>
      <c r="AD45">
        <v>12.54</v>
      </c>
      <c r="AE45">
        <v>11.96</v>
      </c>
      <c r="AF45" s="659">
        <f t="shared" si="5"/>
        <v>12.25</v>
      </c>
      <c r="AG45">
        <v>8.43</v>
      </c>
      <c r="AH45">
        <v>8.36</v>
      </c>
      <c r="AI45" s="659">
        <f t="shared" si="6"/>
        <v>8.3949999999999996</v>
      </c>
      <c r="AJ45">
        <v>7.41</v>
      </c>
      <c r="AK45">
        <v>7.34</v>
      </c>
      <c r="AL45" s="659">
        <f t="shared" si="7"/>
        <v>7.375</v>
      </c>
      <c r="AM45">
        <v>7.77</v>
      </c>
      <c r="AN45">
        <v>7.88</v>
      </c>
      <c r="AO45" s="659">
        <f t="shared" si="8"/>
        <v>7.8249999999999993</v>
      </c>
      <c r="AP45">
        <v>6.91</v>
      </c>
      <c r="AQ45">
        <v>7</v>
      </c>
      <c r="AR45" s="659">
        <f t="shared" si="9"/>
        <v>6.9550000000000001</v>
      </c>
      <c r="AS45">
        <v>9.9</v>
      </c>
      <c r="AT45">
        <v>10.89</v>
      </c>
      <c r="AU45" s="659">
        <f t="shared" si="10"/>
        <v>10.395</v>
      </c>
      <c r="AV45">
        <v>8.66</v>
      </c>
      <c r="AW45">
        <v>9.5299999999999994</v>
      </c>
      <c r="AX45" s="659">
        <f t="shared" si="11"/>
        <v>9.0949999999999989</v>
      </c>
      <c r="AY45">
        <v>7.69</v>
      </c>
      <c r="AZ45">
        <v>8.4700000000000006</v>
      </c>
      <c r="BA45" s="659">
        <f t="shared" si="12"/>
        <v>8.08</v>
      </c>
      <c r="BB45">
        <v>9.9</v>
      </c>
      <c r="BC45">
        <v>10.89</v>
      </c>
      <c r="BD45" s="659">
        <f t="shared" si="13"/>
        <v>10.395</v>
      </c>
      <c r="BE45">
        <v>7.72</v>
      </c>
      <c r="BF45">
        <v>8.51</v>
      </c>
      <c r="BG45" s="659">
        <f t="shared" si="14"/>
        <v>8.1150000000000002</v>
      </c>
      <c r="BH45">
        <v>6.86</v>
      </c>
      <c r="BI45">
        <v>7.56</v>
      </c>
      <c r="BJ45" s="659">
        <f t="shared" si="15"/>
        <v>7.21</v>
      </c>
      <c r="BK45">
        <v>7.62</v>
      </c>
      <c r="BL45">
        <v>8.4</v>
      </c>
      <c r="BM45" s="659">
        <f t="shared" si="16"/>
        <v>8.01</v>
      </c>
      <c r="BN45">
        <v>10.46</v>
      </c>
      <c r="BO45">
        <v>9.91</v>
      </c>
      <c r="BP45" s="659">
        <f t="shared" si="17"/>
        <v>10.185</v>
      </c>
      <c r="BQ45">
        <v>9.23</v>
      </c>
      <c r="BR45">
        <v>8.73</v>
      </c>
      <c r="BS45" s="659">
        <f t="shared" si="18"/>
        <v>8.98</v>
      </c>
      <c r="BT45">
        <v>8.2899999999999991</v>
      </c>
      <c r="BU45">
        <v>7.85</v>
      </c>
      <c r="BV45" s="659">
        <f t="shared" si="19"/>
        <v>8.07</v>
      </c>
      <c r="BW45">
        <v>21.9</v>
      </c>
      <c r="BX45">
        <v>19.829999999999998</v>
      </c>
      <c r="BY45" s="659">
        <f t="shared" si="20"/>
        <v>20.864999999999998</v>
      </c>
      <c r="BZ45">
        <v>18.27</v>
      </c>
      <c r="CA45">
        <v>16.52</v>
      </c>
      <c r="CB45" s="659">
        <f t="shared" si="21"/>
        <v>17.395</v>
      </c>
      <c r="CC45">
        <v>15.71</v>
      </c>
      <c r="CD45">
        <v>15.31</v>
      </c>
      <c r="CE45" s="659">
        <f t="shared" si="22"/>
        <v>15.510000000000002</v>
      </c>
      <c r="CF45">
        <v>14.14</v>
      </c>
      <c r="CG45">
        <v>13.78</v>
      </c>
      <c r="CH45" s="659">
        <f t="shared" si="23"/>
        <v>13.96</v>
      </c>
    </row>
    <row r="46" spans="1:86">
      <c r="A46">
        <v>270</v>
      </c>
      <c r="B46">
        <v>270</v>
      </c>
      <c r="C46">
        <v>270</v>
      </c>
      <c r="D46">
        <v>290</v>
      </c>
      <c r="E46">
        <v>360</v>
      </c>
      <c r="F46">
        <v>390</v>
      </c>
      <c r="G46">
        <v>470</v>
      </c>
      <c r="H46">
        <v>470</v>
      </c>
      <c r="I46">
        <v>850</v>
      </c>
      <c r="J46">
        <v>280</v>
      </c>
      <c r="K46">
        <v>360</v>
      </c>
      <c r="L46">
        <v>360</v>
      </c>
      <c r="M46">
        <v>360</v>
      </c>
      <c r="O46" s="656">
        <v>11.65</v>
      </c>
      <c r="P46" s="458">
        <v>11.68</v>
      </c>
      <c r="Q46" s="221">
        <f t="shared" si="0"/>
        <v>11.664999999999999</v>
      </c>
      <c r="R46" s="656">
        <v>11.65</v>
      </c>
      <c r="S46" s="458">
        <v>11.68</v>
      </c>
      <c r="T46" s="458">
        <f t="shared" si="1"/>
        <v>11.664999999999999</v>
      </c>
      <c r="U46" s="657">
        <v>9.6</v>
      </c>
      <c r="V46" s="458">
        <v>9.7799999999999994</v>
      </c>
      <c r="W46" s="221">
        <f t="shared" si="2"/>
        <v>9.69</v>
      </c>
      <c r="X46" s="458">
        <v>8.77</v>
      </c>
      <c r="Y46" s="458">
        <v>8.93</v>
      </c>
      <c r="Z46" s="659">
        <f t="shared" si="3"/>
        <v>8.85</v>
      </c>
      <c r="AA46">
        <v>13.95</v>
      </c>
      <c r="AB46">
        <v>13.37</v>
      </c>
      <c r="AC46" s="659">
        <f t="shared" si="4"/>
        <v>13.66</v>
      </c>
      <c r="AD46">
        <v>11.96</v>
      </c>
      <c r="AE46">
        <v>11.46</v>
      </c>
      <c r="AF46" s="659">
        <f t="shared" si="5"/>
        <v>11.71</v>
      </c>
      <c r="AG46">
        <v>7.73</v>
      </c>
      <c r="AH46">
        <v>7.77</v>
      </c>
      <c r="AI46" s="659">
        <f t="shared" si="6"/>
        <v>7.75</v>
      </c>
      <c r="AJ46">
        <v>6.8</v>
      </c>
      <c r="AK46">
        <v>6.82</v>
      </c>
      <c r="AL46" s="659">
        <f t="shared" si="7"/>
        <v>6.8100000000000005</v>
      </c>
      <c r="AM46">
        <v>6.94</v>
      </c>
      <c r="AN46">
        <v>7.26</v>
      </c>
      <c r="AO46" s="659">
        <f t="shared" si="8"/>
        <v>7.1</v>
      </c>
      <c r="AP46">
        <v>6.17</v>
      </c>
      <c r="AQ46">
        <v>6.46</v>
      </c>
      <c r="AR46" s="659">
        <f t="shared" si="9"/>
        <v>6.3149999999999995</v>
      </c>
      <c r="AS46">
        <v>12.73</v>
      </c>
      <c r="AT46">
        <v>14.42</v>
      </c>
      <c r="AU46" s="659">
        <f t="shared" si="10"/>
        <v>13.574999999999999</v>
      </c>
      <c r="AV46">
        <v>11.14</v>
      </c>
      <c r="AW46">
        <v>12.62</v>
      </c>
      <c r="AX46" s="659">
        <f t="shared" si="11"/>
        <v>11.879999999999999</v>
      </c>
      <c r="AY46">
        <v>9.91</v>
      </c>
      <c r="AZ46">
        <v>11.21</v>
      </c>
      <c r="BA46" s="659">
        <f t="shared" si="12"/>
        <v>10.56</v>
      </c>
      <c r="BB46">
        <v>12.73</v>
      </c>
      <c r="BC46">
        <v>14.42</v>
      </c>
      <c r="BD46" s="659">
        <f t="shared" si="13"/>
        <v>13.574999999999999</v>
      </c>
      <c r="BE46">
        <v>8.2799999999999994</v>
      </c>
      <c r="BF46">
        <v>9.51</v>
      </c>
      <c r="BG46" s="659">
        <f t="shared" si="14"/>
        <v>8.8949999999999996</v>
      </c>
      <c r="BH46">
        <v>7.36</v>
      </c>
      <c r="BI46">
        <v>8.4499999999999993</v>
      </c>
      <c r="BJ46" s="659">
        <f t="shared" si="15"/>
        <v>7.9049999999999994</v>
      </c>
      <c r="BK46">
        <v>8.18</v>
      </c>
      <c r="BL46">
        <v>9.39</v>
      </c>
      <c r="BM46" s="659">
        <f t="shared" si="16"/>
        <v>8.7850000000000001</v>
      </c>
      <c r="BN46">
        <v>10.01</v>
      </c>
      <c r="BO46">
        <v>9.4700000000000006</v>
      </c>
      <c r="BP46" s="659">
        <f t="shared" si="17"/>
        <v>9.74</v>
      </c>
      <c r="BQ46">
        <v>8.83</v>
      </c>
      <c r="BR46">
        <v>8.34</v>
      </c>
      <c r="BS46" s="659">
        <f t="shared" si="18"/>
        <v>8.5850000000000009</v>
      </c>
      <c r="BT46">
        <v>7.93</v>
      </c>
      <c r="BU46">
        <v>7.49</v>
      </c>
      <c r="BV46" s="659">
        <f t="shared" si="19"/>
        <v>7.71</v>
      </c>
      <c r="BW46">
        <v>20.9</v>
      </c>
      <c r="BX46">
        <v>18.920000000000002</v>
      </c>
      <c r="BY46" s="659">
        <f t="shared" si="20"/>
        <v>19.91</v>
      </c>
      <c r="BZ46">
        <v>17.41</v>
      </c>
      <c r="CA46">
        <v>15.77</v>
      </c>
      <c r="CB46" s="659">
        <f t="shared" si="21"/>
        <v>16.59</v>
      </c>
      <c r="CC46">
        <v>14.22</v>
      </c>
      <c r="CD46">
        <v>14.05</v>
      </c>
      <c r="CE46" s="659">
        <f t="shared" si="22"/>
        <v>14.135000000000002</v>
      </c>
      <c r="CF46">
        <v>12.79</v>
      </c>
      <c r="CG46">
        <v>12.64</v>
      </c>
      <c r="CH46" s="659">
        <f t="shared" si="23"/>
        <v>12.715</v>
      </c>
    </row>
    <row r="47" spans="1:86">
      <c r="A47">
        <v>275</v>
      </c>
      <c r="B47">
        <v>275</v>
      </c>
      <c r="C47">
        <v>275</v>
      </c>
      <c r="D47">
        <v>295</v>
      </c>
      <c r="E47">
        <v>370</v>
      </c>
      <c r="F47">
        <v>400</v>
      </c>
      <c r="G47">
        <v>480</v>
      </c>
      <c r="H47">
        <v>480</v>
      </c>
      <c r="I47">
        <v>875</v>
      </c>
      <c r="J47">
        <v>285</v>
      </c>
      <c r="K47">
        <v>370</v>
      </c>
      <c r="L47">
        <v>370</v>
      </c>
      <c r="M47">
        <v>370</v>
      </c>
      <c r="O47" s="656">
        <v>16.96</v>
      </c>
      <c r="P47" s="458">
        <v>14.8</v>
      </c>
      <c r="Q47" s="221">
        <f t="shared" si="0"/>
        <v>15.88</v>
      </c>
      <c r="R47" s="656">
        <v>16.96</v>
      </c>
      <c r="S47" s="458">
        <v>14.8</v>
      </c>
      <c r="T47" s="458">
        <f t="shared" si="1"/>
        <v>15.88</v>
      </c>
      <c r="U47" s="657">
        <v>13.84</v>
      </c>
      <c r="V47" s="458">
        <v>12.02</v>
      </c>
      <c r="W47" s="221">
        <f t="shared" si="2"/>
        <v>12.93</v>
      </c>
      <c r="X47" s="458">
        <v>12.63</v>
      </c>
      <c r="Y47" s="458">
        <v>10.98</v>
      </c>
      <c r="Z47" s="659">
        <f t="shared" si="3"/>
        <v>11.805</v>
      </c>
      <c r="AA47">
        <v>13.29</v>
      </c>
      <c r="AB47">
        <v>12.79</v>
      </c>
      <c r="AC47" s="659">
        <f t="shared" si="4"/>
        <v>13.04</v>
      </c>
      <c r="AD47">
        <v>11.39</v>
      </c>
      <c r="AE47">
        <v>10.96</v>
      </c>
      <c r="AF47" s="659">
        <f t="shared" si="5"/>
        <v>11.175000000000001</v>
      </c>
      <c r="AG47">
        <v>9.51</v>
      </c>
      <c r="AH47">
        <v>8.48</v>
      </c>
      <c r="AI47" s="659">
        <f t="shared" si="6"/>
        <v>8.995000000000001</v>
      </c>
      <c r="AJ47">
        <v>8.36</v>
      </c>
      <c r="AK47">
        <v>7.46</v>
      </c>
      <c r="AL47" s="659">
        <f t="shared" si="7"/>
        <v>7.91</v>
      </c>
      <c r="AM47">
        <v>7.14</v>
      </c>
      <c r="AN47">
        <v>7.19</v>
      </c>
      <c r="AO47" s="659">
        <f t="shared" si="8"/>
        <v>7.165</v>
      </c>
      <c r="AP47">
        <v>6.35</v>
      </c>
      <c r="AQ47">
        <v>6.39</v>
      </c>
      <c r="AR47" s="659">
        <f t="shared" si="9"/>
        <v>6.3699999999999992</v>
      </c>
      <c r="AS47">
        <v>12.9</v>
      </c>
      <c r="AT47">
        <v>14.16</v>
      </c>
      <c r="AU47" s="659">
        <f t="shared" si="10"/>
        <v>13.530000000000001</v>
      </c>
      <c r="AV47">
        <v>11.29</v>
      </c>
      <c r="AW47">
        <v>12.39</v>
      </c>
      <c r="AX47" s="659">
        <f t="shared" si="11"/>
        <v>11.84</v>
      </c>
      <c r="AY47">
        <v>10.029999999999999</v>
      </c>
      <c r="AZ47">
        <v>11.01</v>
      </c>
      <c r="BA47" s="659">
        <f t="shared" si="12"/>
        <v>10.52</v>
      </c>
      <c r="BB47">
        <v>12.9</v>
      </c>
      <c r="BC47">
        <v>14.16</v>
      </c>
      <c r="BD47" s="659">
        <f t="shared" si="13"/>
        <v>13.530000000000001</v>
      </c>
      <c r="BE47">
        <v>8.5399999999999991</v>
      </c>
      <c r="BF47">
        <v>9.42</v>
      </c>
      <c r="BG47" s="659">
        <f t="shared" si="14"/>
        <v>8.98</v>
      </c>
      <c r="BH47">
        <v>7.59</v>
      </c>
      <c r="BI47">
        <v>8.3800000000000008</v>
      </c>
      <c r="BJ47" s="659">
        <f t="shared" si="15"/>
        <v>7.9850000000000003</v>
      </c>
      <c r="BK47">
        <v>8.43</v>
      </c>
      <c r="BL47">
        <v>9.31</v>
      </c>
      <c r="BM47" s="659">
        <f t="shared" si="16"/>
        <v>8.870000000000001</v>
      </c>
      <c r="BN47">
        <v>9.49</v>
      </c>
      <c r="BO47">
        <v>9</v>
      </c>
      <c r="BP47" s="659">
        <f t="shared" si="17"/>
        <v>9.245000000000001</v>
      </c>
      <c r="BQ47">
        <v>8.3699999999999992</v>
      </c>
      <c r="BR47">
        <v>7.93</v>
      </c>
      <c r="BS47" s="659">
        <f t="shared" si="18"/>
        <v>8.1499999999999986</v>
      </c>
      <c r="BT47">
        <v>7.52</v>
      </c>
      <c r="BU47">
        <v>7.12</v>
      </c>
      <c r="BV47" s="659">
        <f t="shared" si="19"/>
        <v>7.32</v>
      </c>
      <c r="BW47">
        <v>19.91</v>
      </c>
      <c r="BX47">
        <v>18.04</v>
      </c>
      <c r="BY47" s="659">
        <f t="shared" si="20"/>
        <v>18.975000000000001</v>
      </c>
      <c r="BZ47">
        <v>16.59</v>
      </c>
      <c r="CA47">
        <v>15.85</v>
      </c>
      <c r="CB47" s="659">
        <f t="shared" si="21"/>
        <v>16.22</v>
      </c>
      <c r="CC47">
        <v>27.13</v>
      </c>
      <c r="CD47">
        <v>24.8</v>
      </c>
      <c r="CE47" s="659">
        <f t="shared" si="22"/>
        <v>25.965</v>
      </c>
      <c r="CF47">
        <v>24.42</v>
      </c>
      <c r="CG47">
        <v>22.32</v>
      </c>
      <c r="CH47" s="659">
        <f t="shared" si="23"/>
        <v>23.37</v>
      </c>
    </row>
    <row r="48" spans="1:86">
      <c r="A48">
        <v>280</v>
      </c>
      <c r="B48">
        <v>280</v>
      </c>
      <c r="C48">
        <v>280</v>
      </c>
      <c r="D48">
        <v>300</v>
      </c>
      <c r="E48">
        <v>380</v>
      </c>
      <c r="F48">
        <v>410</v>
      </c>
      <c r="G48">
        <v>490</v>
      </c>
      <c r="H48">
        <v>490</v>
      </c>
      <c r="I48">
        <v>900</v>
      </c>
      <c r="J48">
        <v>290</v>
      </c>
      <c r="K48">
        <v>380</v>
      </c>
      <c r="L48">
        <v>380</v>
      </c>
      <c r="M48">
        <v>380</v>
      </c>
      <c r="O48" s="656">
        <v>16.03</v>
      </c>
      <c r="P48" s="458">
        <v>14.17</v>
      </c>
      <c r="Q48" s="221">
        <f t="shared" si="0"/>
        <v>15.100000000000001</v>
      </c>
      <c r="R48" s="656">
        <v>16.03</v>
      </c>
      <c r="S48" s="458">
        <v>14.17</v>
      </c>
      <c r="T48" s="458">
        <f t="shared" si="1"/>
        <v>15.100000000000001</v>
      </c>
      <c r="U48" s="657">
        <v>13.05</v>
      </c>
      <c r="V48" s="458">
        <v>11.49</v>
      </c>
      <c r="W48" s="221">
        <f t="shared" si="2"/>
        <v>12.27</v>
      </c>
      <c r="X48" s="458">
        <v>11.92</v>
      </c>
      <c r="Y48" s="458">
        <v>10.49</v>
      </c>
      <c r="Z48" s="659">
        <f t="shared" si="3"/>
        <v>11.205</v>
      </c>
      <c r="AA48">
        <v>12.66</v>
      </c>
      <c r="AB48">
        <v>12.24</v>
      </c>
      <c r="AC48" s="659">
        <f t="shared" si="4"/>
        <v>12.45</v>
      </c>
      <c r="AD48">
        <v>10.85</v>
      </c>
      <c r="AE48">
        <v>10.49</v>
      </c>
      <c r="AF48" s="659">
        <f t="shared" si="5"/>
        <v>10.67</v>
      </c>
      <c r="AG48">
        <v>8.76</v>
      </c>
      <c r="AH48">
        <v>7.88</v>
      </c>
      <c r="AI48" s="659">
        <f t="shared" si="6"/>
        <v>8.32</v>
      </c>
      <c r="AJ48">
        <v>7.7</v>
      </c>
      <c r="AK48">
        <v>6.93</v>
      </c>
      <c r="AL48" s="659">
        <f t="shared" si="7"/>
        <v>7.3149999999999995</v>
      </c>
      <c r="AM48">
        <v>6.4</v>
      </c>
      <c r="AN48">
        <v>6.66</v>
      </c>
      <c r="AO48" s="659">
        <f t="shared" si="8"/>
        <v>6.53</v>
      </c>
      <c r="AP48">
        <v>5.69</v>
      </c>
      <c r="AQ48">
        <v>5.92</v>
      </c>
      <c r="AR48" s="659">
        <f t="shared" si="9"/>
        <v>5.8049999999999997</v>
      </c>
      <c r="AS48">
        <v>11.83</v>
      </c>
      <c r="AT48">
        <v>13.29</v>
      </c>
      <c r="AU48" s="659">
        <f t="shared" si="10"/>
        <v>12.559999999999999</v>
      </c>
      <c r="AV48">
        <v>10.35</v>
      </c>
      <c r="AW48">
        <v>11.63</v>
      </c>
      <c r="AX48" s="659">
        <f t="shared" si="11"/>
        <v>10.99</v>
      </c>
      <c r="AY48">
        <v>9.1999999999999993</v>
      </c>
      <c r="AZ48">
        <v>10.34</v>
      </c>
      <c r="BA48" s="659">
        <f t="shared" si="12"/>
        <v>9.77</v>
      </c>
      <c r="BB48">
        <v>11.83</v>
      </c>
      <c r="BC48">
        <v>13.29</v>
      </c>
      <c r="BD48" s="659">
        <f t="shared" si="13"/>
        <v>12.559999999999999</v>
      </c>
      <c r="BE48">
        <v>7.71</v>
      </c>
      <c r="BF48">
        <v>8.8000000000000007</v>
      </c>
      <c r="BG48" s="659">
        <f t="shared" si="14"/>
        <v>8.2550000000000008</v>
      </c>
      <c r="BH48">
        <v>6.86</v>
      </c>
      <c r="BI48">
        <v>7.82</v>
      </c>
      <c r="BJ48" s="659">
        <f t="shared" si="15"/>
        <v>7.34</v>
      </c>
      <c r="BK48">
        <v>7.62</v>
      </c>
      <c r="BL48">
        <v>8.69</v>
      </c>
      <c r="BM48" s="659">
        <f t="shared" si="16"/>
        <v>8.1549999999999994</v>
      </c>
      <c r="BN48">
        <v>12.1</v>
      </c>
      <c r="BO48">
        <v>12.39</v>
      </c>
      <c r="BP48" s="659">
        <f t="shared" si="17"/>
        <v>12.245000000000001</v>
      </c>
      <c r="BQ48">
        <v>8.9600000000000009</v>
      </c>
      <c r="BR48">
        <v>10.94</v>
      </c>
      <c r="BS48" s="659">
        <f t="shared" si="18"/>
        <v>9.9499999999999993</v>
      </c>
      <c r="BT48">
        <v>8.06</v>
      </c>
      <c r="BU48">
        <v>9.83</v>
      </c>
      <c r="BV48" s="659">
        <f t="shared" si="19"/>
        <v>8.9450000000000003</v>
      </c>
      <c r="BW48">
        <v>19</v>
      </c>
      <c r="BX48">
        <v>17.239999999999998</v>
      </c>
      <c r="BY48" s="659">
        <f t="shared" si="20"/>
        <v>18.119999999999997</v>
      </c>
      <c r="BZ48">
        <v>15.84</v>
      </c>
      <c r="CA48">
        <v>14.37</v>
      </c>
      <c r="CB48" s="659">
        <f t="shared" si="21"/>
        <v>15.105</v>
      </c>
      <c r="CC48">
        <v>24.68</v>
      </c>
      <c r="CD48">
        <v>22.8</v>
      </c>
      <c r="CE48" s="659">
        <f t="shared" si="22"/>
        <v>23.740000000000002</v>
      </c>
      <c r="CF48">
        <v>22.21</v>
      </c>
      <c r="CG48">
        <v>20.52</v>
      </c>
      <c r="CH48" s="659">
        <f t="shared" si="23"/>
        <v>21.365000000000002</v>
      </c>
    </row>
    <row r="49" spans="1:86">
      <c r="A49">
        <v>285</v>
      </c>
      <c r="B49">
        <v>285</v>
      </c>
      <c r="C49">
        <v>285</v>
      </c>
      <c r="D49">
        <v>310</v>
      </c>
      <c r="E49">
        <v>390</v>
      </c>
      <c r="F49">
        <v>420</v>
      </c>
      <c r="G49">
        <v>500</v>
      </c>
      <c r="H49">
        <v>500</v>
      </c>
      <c r="I49">
        <v>925</v>
      </c>
      <c r="J49">
        <v>295</v>
      </c>
      <c r="K49">
        <v>390</v>
      </c>
      <c r="L49">
        <v>390</v>
      </c>
      <c r="M49">
        <v>390</v>
      </c>
      <c r="O49" s="656">
        <v>15.13</v>
      </c>
      <c r="P49" s="458">
        <v>13.56</v>
      </c>
      <c r="Q49" s="221">
        <f t="shared" si="0"/>
        <v>14.345000000000001</v>
      </c>
      <c r="R49" s="656">
        <v>15.13</v>
      </c>
      <c r="S49" s="458">
        <v>13.56</v>
      </c>
      <c r="T49" s="458">
        <f t="shared" si="1"/>
        <v>14.345000000000001</v>
      </c>
      <c r="U49" s="657">
        <v>12.3</v>
      </c>
      <c r="V49" s="458">
        <v>10.98</v>
      </c>
      <c r="W49" s="221">
        <f t="shared" si="2"/>
        <v>11.64</v>
      </c>
      <c r="X49" s="458">
        <v>11.23</v>
      </c>
      <c r="Y49" s="458">
        <v>10.02</v>
      </c>
      <c r="Z49" s="659">
        <f t="shared" si="3"/>
        <v>10.625</v>
      </c>
      <c r="AA49">
        <v>11.51</v>
      </c>
      <c r="AB49">
        <v>11.24</v>
      </c>
      <c r="AC49" s="659">
        <f t="shared" si="4"/>
        <v>11.375</v>
      </c>
      <c r="AD49">
        <v>9.86</v>
      </c>
      <c r="AE49">
        <v>9.6300000000000008</v>
      </c>
      <c r="AF49" s="659">
        <f t="shared" si="5"/>
        <v>9.745000000000001</v>
      </c>
      <c r="AG49">
        <v>8.08</v>
      </c>
      <c r="AH49">
        <v>7.34</v>
      </c>
      <c r="AI49" s="659">
        <f t="shared" si="6"/>
        <v>7.71</v>
      </c>
      <c r="AJ49">
        <v>7.1</v>
      </c>
      <c r="AK49">
        <v>6.45</v>
      </c>
      <c r="AL49" s="659">
        <f t="shared" si="7"/>
        <v>6.7750000000000004</v>
      </c>
      <c r="AM49">
        <v>11.24</v>
      </c>
      <c r="AN49">
        <v>11.75</v>
      </c>
      <c r="AO49" s="659">
        <f t="shared" si="8"/>
        <v>11.495000000000001</v>
      </c>
      <c r="AP49">
        <v>9.99</v>
      </c>
      <c r="AQ49">
        <v>10.44</v>
      </c>
      <c r="AR49" s="659">
        <f t="shared" si="9"/>
        <v>10.215</v>
      </c>
      <c r="AS49">
        <v>12</v>
      </c>
      <c r="AT49">
        <v>13.09</v>
      </c>
      <c r="AU49" s="659">
        <f t="shared" si="10"/>
        <v>12.545</v>
      </c>
      <c r="AV49">
        <v>10.5</v>
      </c>
      <c r="AW49">
        <v>11.45</v>
      </c>
      <c r="AX49" s="659">
        <f t="shared" si="11"/>
        <v>10.975</v>
      </c>
      <c r="AY49">
        <v>9.33</v>
      </c>
      <c r="AZ49">
        <v>10.18</v>
      </c>
      <c r="BA49" s="659">
        <f t="shared" si="12"/>
        <v>9.754999999999999</v>
      </c>
      <c r="BB49">
        <v>12</v>
      </c>
      <c r="BC49">
        <v>13.09</v>
      </c>
      <c r="BD49" s="659">
        <f t="shared" si="13"/>
        <v>12.545</v>
      </c>
      <c r="BE49">
        <v>7.97</v>
      </c>
      <c r="BF49">
        <v>8.73</v>
      </c>
      <c r="BG49" s="659">
        <f t="shared" si="14"/>
        <v>8.35</v>
      </c>
      <c r="BH49">
        <v>7.08</v>
      </c>
      <c r="BI49">
        <v>7.86</v>
      </c>
      <c r="BJ49" s="659">
        <f t="shared" si="15"/>
        <v>7.4700000000000006</v>
      </c>
      <c r="BK49">
        <v>7.87</v>
      </c>
      <c r="BL49">
        <v>8.73</v>
      </c>
      <c r="BM49" s="659">
        <f t="shared" si="16"/>
        <v>8.3000000000000007</v>
      </c>
      <c r="BN49">
        <v>11.51</v>
      </c>
      <c r="BO49">
        <v>11.76</v>
      </c>
      <c r="BP49" s="659">
        <f t="shared" si="17"/>
        <v>11.635</v>
      </c>
      <c r="BQ49">
        <v>10.16</v>
      </c>
      <c r="BR49">
        <v>10.38</v>
      </c>
      <c r="BS49" s="659">
        <f t="shared" si="18"/>
        <v>10.27</v>
      </c>
      <c r="BT49">
        <v>9.1300000000000008</v>
      </c>
      <c r="BU49">
        <v>9.33</v>
      </c>
      <c r="BV49" s="659">
        <f t="shared" si="19"/>
        <v>9.23</v>
      </c>
      <c r="BW49">
        <v>18.13</v>
      </c>
      <c r="BX49">
        <v>16.48</v>
      </c>
      <c r="BY49" s="659">
        <f t="shared" si="20"/>
        <v>17.305</v>
      </c>
      <c r="BZ49">
        <v>15.11</v>
      </c>
      <c r="CA49">
        <v>13.74</v>
      </c>
      <c r="CB49" s="659">
        <f t="shared" si="21"/>
        <v>14.425000000000001</v>
      </c>
      <c r="CC49">
        <v>22.47</v>
      </c>
      <c r="CD49">
        <v>21</v>
      </c>
      <c r="CE49" s="659">
        <f t="shared" si="22"/>
        <v>21.734999999999999</v>
      </c>
      <c r="CF49">
        <v>20.23</v>
      </c>
      <c r="CG49">
        <v>18.899999999999999</v>
      </c>
      <c r="CH49" s="659">
        <f t="shared" si="23"/>
        <v>19.564999999999998</v>
      </c>
    </row>
    <row r="50" spans="1:86">
      <c r="A50">
        <v>290</v>
      </c>
      <c r="B50">
        <v>290</v>
      </c>
      <c r="C50">
        <v>290</v>
      </c>
      <c r="D50">
        <v>320</v>
      </c>
      <c r="E50">
        <v>400</v>
      </c>
      <c r="F50">
        <v>430</v>
      </c>
      <c r="G50">
        <v>510</v>
      </c>
      <c r="H50">
        <v>510</v>
      </c>
      <c r="I50">
        <v>950</v>
      </c>
      <c r="J50">
        <v>300</v>
      </c>
      <c r="K50">
        <v>400</v>
      </c>
      <c r="L50">
        <v>400</v>
      </c>
      <c r="M50">
        <v>400</v>
      </c>
      <c r="O50" s="656">
        <v>14.31</v>
      </c>
      <c r="P50" s="458">
        <v>13</v>
      </c>
      <c r="Q50" s="221">
        <f t="shared" si="0"/>
        <v>13.655000000000001</v>
      </c>
      <c r="R50" s="656">
        <v>14.31</v>
      </c>
      <c r="S50" s="458">
        <v>13</v>
      </c>
      <c r="T50" s="458">
        <f t="shared" si="1"/>
        <v>13.655000000000001</v>
      </c>
      <c r="U50" s="657">
        <v>11.61</v>
      </c>
      <c r="V50" s="458">
        <v>10.5</v>
      </c>
      <c r="W50" s="221">
        <f t="shared" si="2"/>
        <v>11.055</v>
      </c>
      <c r="X50" s="458">
        <v>10.6</v>
      </c>
      <c r="Y50" s="458">
        <v>9.59</v>
      </c>
      <c r="Z50" s="659">
        <f t="shared" si="3"/>
        <v>10.094999999999999</v>
      </c>
      <c r="AA50">
        <v>12.21</v>
      </c>
      <c r="AB50">
        <v>12.7</v>
      </c>
      <c r="AC50" s="659">
        <f t="shared" si="4"/>
        <v>12.455</v>
      </c>
      <c r="AD50">
        <v>10.46</v>
      </c>
      <c r="AE50">
        <v>10.89</v>
      </c>
      <c r="AF50" s="659">
        <f t="shared" si="5"/>
        <v>10.675000000000001</v>
      </c>
      <c r="AG50">
        <v>7.45</v>
      </c>
      <c r="AH50">
        <v>6.84</v>
      </c>
      <c r="AI50" s="659">
        <f t="shared" si="6"/>
        <v>7.1449999999999996</v>
      </c>
      <c r="AJ50">
        <v>6.55</v>
      </c>
      <c r="AK50">
        <v>6.01</v>
      </c>
      <c r="AL50" s="659">
        <f t="shared" si="7"/>
        <v>6.2799999999999994</v>
      </c>
      <c r="AM50">
        <v>10.49</v>
      </c>
      <c r="AN50">
        <v>11.01</v>
      </c>
      <c r="AO50" s="659">
        <f t="shared" si="8"/>
        <v>10.75</v>
      </c>
      <c r="AP50">
        <v>9.32</v>
      </c>
      <c r="AQ50">
        <v>9.7899999999999991</v>
      </c>
      <c r="AR50" s="659">
        <f t="shared" si="9"/>
        <v>9.5549999999999997</v>
      </c>
      <c r="AS50">
        <v>11.03</v>
      </c>
      <c r="AT50">
        <v>12.32</v>
      </c>
      <c r="AU50" s="659">
        <f t="shared" si="10"/>
        <v>11.675000000000001</v>
      </c>
      <c r="AV50">
        <v>9.65</v>
      </c>
      <c r="AW50">
        <v>10.78</v>
      </c>
      <c r="AX50" s="659">
        <f t="shared" si="11"/>
        <v>10.215</v>
      </c>
      <c r="AY50">
        <v>8.58</v>
      </c>
      <c r="AZ50">
        <v>9.58</v>
      </c>
      <c r="BA50" s="659">
        <f t="shared" si="12"/>
        <v>9.08</v>
      </c>
      <c r="BB50">
        <v>11.03</v>
      </c>
      <c r="BC50">
        <v>12.32</v>
      </c>
      <c r="BD50" s="659">
        <f t="shared" si="13"/>
        <v>11.675000000000001</v>
      </c>
      <c r="BE50">
        <v>7.21</v>
      </c>
      <c r="BF50">
        <v>8.17</v>
      </c>
      <c r="BG50" s="659">
        <f t="shared" si="14"/>
        <v>7.6899999999999995</v>
      </c>
      <c r="BH50">
        <v>6.41</v>
      </c>
      <c r="BI50">
        <v>7.27</v>
      </c>
      <c r="BJ50" s="659">
        <f t="shared" si="15"/>
        <v>6.84</v>
      </c>
      <c r="BK50">
        <v>7.12</v>
      </c>
      <c r="BL50">
        <v>8.08</v>
      </c>
      <c r="BM50" s="659">
        <f t="shared" si="16"/>
        <v>7.6</v>
      </c>
      <c r="BN50">
        <v>10.96</v>
      </c>
      <c r="BO50">
        <v>11.18</v>
      </c>
      <c r="BP50" s="659">
        <f t="shared" si="17"/>
        <v>11.07</v>
      </c>
      <c r="BQ50">
        <v>9.67</v>
      </c>
      <c r="BR50">
        <v>9.8699999999999992</v>
      </c>
      <c r="BS50" s="659">
        <f t="shared" si="18"/>
        <v>9.77</v>
      </c>
      <c r="BT50">
        <v>8.69</v>
      </c>
      <c r="BU50">
        <v>8.8699999999999992</v>
      </c>
      <c r="BV50" s="659">
        <f t="shared" si="19"/>
        <v>8.7799999999999994</v>
      </c>
      <c r="BW50">
        <v>17.29</v>
      </c>
      <c r="BX50">
        <v>17.760000000000002</v>
      </c>
      <c r="BY50" s="659">
        <f t="shared" si="20"/>
        <v>17.524999999999999</v>
      </c>
      <c r="BZ50">
        <v>14.41</v>
      </c>
      <c r="CA50">
        <v>13.13</v>
      </c>
      <c r="CB50" s="659">
        <f t="shared" si="21"/>
        <v>13.77</v>
      </c>
      <c r="CC50">
        <v>20.43</v>
      </c>
      <c r="CD50">
        <v>19.32</v>
      </c>
      <c r="CE50" s="659">
        <f t="shared" si="22"/>
        <v>19.875</v>
      </c>
      <c r="CF50">
        <v>18.39</v>
      </c>
      <c r="CG50">
        <v>17.39</v>
      </c>
      <c r="CH50" s="659">
        <f t="shared" si="23"/>
        <v>17.89</v>
      </c>
    </row>
    <row r="51" spans="1:86">
      <c r="A51">
        <v>295</v>
      </c>
      <c r="B51">
        <v>295</v>
      </c>
      <c r="C51">
        <v>295</v>
      </c>
      <c r="D51">
        <v>330</v>
      </c>
      <c r="E51">
        <v>410</v>
      </c>
      <c r="F51">
        <v>440</v>
      </c>
      <c r="G51">
        <v>525</v>
      </c>
      <c r="H51">
        <v>525</v>
      </c>
      <c r="I51">
        <v>975</v>
      </c>
      <c r="J51">
        <v>310</v>
      </c>
      <c r="K51">
        <v>410</v>
      </c>
      <c r="L51">
        <v>410</v>
      </c>
      <c r="M51">
        <v>410</v>
      </c>
      <c r="O51" s="656">
        <v>13.52</v>
      </c>
      <c r="P51" s="458">
        <v>12.46</v>
      </c>
      <c r="Q51" s="221">
        <f t="shared" si="0"/>
        <v>12.99</v>
      </c>
      <c r="R51" s="656">
        <v>13.52</v>
      </c>
      <c r="S51" s="458">
        <v>12.46</v>
      </c>
      <c r="T51" s="458">
        <f t="shared" si="1"/>
        <v>12.99</v>
      </c>
      <c r="U51" s="657">
        <v>10.94</v>
      </c>
      <c r="V51" s="458">
        <v>10.050000000000001</v>
      </c>
      <c r="W51" s="221">
        <f t="shared" si="2"/>
        <v>10.495000000000001</v>
      </c>
      <c r="X51" s="458">
        <v>9.99</v>
      </c>
      <c r="Y51" s="458">
        <v>9.17</v>
      </c>
      <c r="Z51" s="659">
        <f t="shared" si="3"/>
        <v>9.58</v>
      </c>
      <c r="AA51">
        <v>11.14</v>
      </c>
      <c r="AB51">
        <v>11.75</v>
      </c>
      <c r="AC51" s="659">
        <f t="shared" si="4"/>
        <v>11.445</v>
      </c>
      <c r="AD51">
        <v>9.5500000000000007</v>
      </c>
      <c r="AE51">
        <v>10.07</v>
      </c>
      <c r="AF51" s="659">
        <f t="shared" si="5"/>
        <v>9.81</v>
      </c>
      <c r="AG51">
        <v>6.88</v>
      </c>
      <c r="AH51">
        <v>6.39</v>
      </c>
      <c r="AI51" s="659">
        <f t="shared" si="6"/>
        <v>6.6349999999999998</v>
      </c>
      <c r="AJ51">
        <v>6.04</v>
      </c>
      <c r="AK51">
        <v>5.62</v>
      </c>
      <c r="AL51" s="659">
        <f t="shared" si="7"/>
        <v>5.83</v>
      </c>
      <c r="AM51">
        <v>9.8000000000000007</v>
      </c>
      <c r="AN51">
        <v>10.4</v>
      </c>
      <c r="AO51" s="659">
        <f t="shared" si="8"/>
        <v>10.100000000000001</v>
      </c>
      <c r="AP51">
        <v>8.7100000000000009</v>
      </c>
      <c r="AQ51">
        <v>9.19</v>
      </c>
      <c r="AR51" s="659">
        <f t="shared" si="9"/>
        <v>8.9499999999999993</v>
      </c>
      <c r="AS51">
        <v>14.8</v>
      </c>
      <c r="AT51">
        <v>14.7</v>
      </c>
      <c r="AU51" s="659">
        <f t="shared" si="10"/>
        <v>14.75</v>
      </c>
      <c r="AV51">
        <v>12.95</v>
      </c>
      <c r="AW51">
        <v>12.86</v>
      </c>
      <c r="AX51" s="659">
        <f t="shared" si="11"/>
        <v>12.904999999999999</v>
      </c>
      <c r="AY51">
        <v>11.51</v>
      </c>
      <c r="AZ51">
        <v>11.43</v>
      </c>
      <c r="BA51" s="659">
        <f t="shared" si="12"/>
        <v>11.469999999999999</v>
      </c>
      <c r="BB51">
        <v>14.8</v>
      </c>
      <c r="BC51">
        <v>14.7</v>
      </c>
      <c r="BD51" s="659">
        <f t="shared" si="13"/>
        <v>14.75</v>
      </c>
      <c r="BE51">
        <v>10.72</v>
      </c>
      <c r="BF51">
        <v>10.48</v>
      </c>
      <c r="BG51" s="659">
        <f t="shared" si="14"/>
        <v>10.600000000000001</v>
      </c>
      <c r="BH51">
        <v>9.5299999999999994</v>
      </c>
      <c r="BI51">
        <v>9.32</v>
      </c>
      <c r="BJ51" s="659">
        <f t="shared" si="15"/>
        <v>9.4250000000000007</v>
      </c>
      <c r="BK51">
        <v>10.59</v>
      </c>
      <c r="BL51">
        <v>10.36</v>
      </c>
      <c r="BM51" s="659">
        <f t="shared" si="16"/>
        <v>10.475</v>
      </c>
      <c r="BN51">
        <v>10.45</v>
      </c>
      <c r="BO51">
        <v>10.64</v>
      </c>
      <c r="BP51" s="659">
        <f t="shared" si="17"/>
        <v>10.545</v>
      </c>
      <c r="BQ51">
        <v>9.2200000000000006</v>
      </c>
      <c r="BR51">
        <v>9.39</v>
      </c>
      <c r="BS51" s="659">
        <f t="shared" si="18"/>
        <v>9.3049999999999997</v>
      </c>
      <c r="BT51">
        <v>8.2899999999999991</v>
      </c>
      <c r="BU51">
        <v>8.43</v>
      </c>
      <c r="BV51" s="659">
        <f t="shared" si="19"/>
        <v>8.36</v>
      </c>
      <c r="BW51">
        <v>15.76</v>
      </c>
      <c r="BX51">
        <v>14.43</v>
      </c>
      <c r="BY51" s="659">
        <f t="shared" si="20"/>
        <v>15.094999999999999</v>
      </c>
      <c r="BZ51">
        <v>13.13</v>
      </c>
      <c r="CA51">
        <v>12.03</v>
      </c>
      <c r="CB51" s="659">
        <f t="shared" si="21"/>
        <v>12.58</v>
      </c>
      <c r="CC51">
        <v>18.579999999999998</v>
      </c>
      <c r="CD51">
        <v>17.82</v>
      </c>
      <c r="CE51" s="659">
        <f t="shared" si="22"/>
        <v>18.2</v>
      </c>
      <c r="CF51">
        <v>16.72</v>
      </c>
      <c r="CG51">
        <v>16.04</v>
      </c>
      <c r="CH51" s="659">
        <f t="shared" si="23"/>
        <v>16.38</v>
      </c>
    </row>
    <row r="52" spans="1:86">
      <c r="A52">
        <v>300</v>
      </c>
      <c r="B52">
        <v>300</v>
      </c>
      <c r="C52">
        <v>300</v>
      </c>
      <c r="D52">
        <v>340</v>
      </c>
      <c r="E52">
        <v>420</v>
      </c>
      <c r="F52">
        <v>450</v>
      </c>
      <c r="G52">
        <v>540</v>
      </c>
      <c r="H52">
        <v>540</v>
      </c>
      <c r="I52">
        <v>1000</v>
      </c>
      <c r="J52">
        <v>320</v>
      </c>
      <c r="K52">
        <v>420</v>
      </c>
      <c r="L52">
        <v>420</v>
      </c>
      <c r="M52">
        <v>420</v>
      </c>
      <c r="O52" s="656">
        <v>12.76</v>
      </c>
      <c r="P52" s="458">
        <v>11.94</v>
      </c>
      <c r="Q52" s="221">
        <f t="shared" si="0"/>
        <v>12.35</v>
      </c>
      <c r="R52" s="656">
        <v>12.76</v>
      </c>
      <c r="S52" s="458">
        <v>11.94</v>
      </c>
      <c r="T52" s="458">
        <f t="shared" si="1"/>
        <v>12.35</v>
      </c>
      <c r="U52" s="657">
        <v>10.31</v>
      </c>
      <c r="V52" s="458">
        <v>9.6199999999999992</v>
      </c>
      <c r="W52" s="221">
        <f t="shared" si="2"/>
        <v>9.9649999999999999</v>
      </c>
      <c r="X52" s="458">
        <v>9.42</v>
      </c>
      <c r="Y52" s="458">
        <v>8.7799999999999994</v>
      </c>
      <c r="Z52" s="659">
        <f t="shared" si="3"/>
        <v>9.1</v>
      </c>
      <c r="AA52">
        <v>10.19</v>
      </c>
      <c r="AB52">
        <v>10.89</v>
      </c>
      <c r="AC52" s="659">
        <f t="shared" si="4"/>
        <v>10.54</v>
      </c>
      <c r="AD52">
        <v>8.74</v>
      </c>
      <c r="AE52">
        <v>9.33</v>
      </c>
      <c r="AF52" s="659">
        <f t="shared" si="5"/>
        <v>9.0350000000000001</v>
      </c>
      <c r="AG52">
        <v>9.83</v>
      </c>
      <c r="AH52">
        <v>14.6</v>
      </c>
      <c r="AI52" s="659">
        <f t="shared" si="6"/>
        <v>12.215</v>
      </c>
      <c r="AJ52">
        <v>8.6300000000000008</v>
      </c>
      <c r="AK52">
        <v>12.83</v>
      </c>
      <c r="AL52" s="659">
        <f t="shared" si="7"/>
        <v>10.73</v>
      </c>
      <c r="AM52">
        <v>9.15</v>
      </c>
      <c r="AN52">
        <v>9.7100000000000009</v>
      </c>
      <c r="AO52" s="659">
        <f t="shared" si="8"/>
        <v>9.43</v>
      </c>
      <c r="AP52">
        <v>8.1300000000000008</v>
      </c>
      <c r="AQ52">
        <v>8.6300000000000008</v>
      </c>
      <c r="AR52" s="659">
        <f t="shared" si="9"/>
        <v>8.3800000000000008</v>
      </c>
      <c r="AS52">
        <v>13.11</v>
      </c>
      <c r="AT52">
        <v>13.44</v>
      </c>
      <c r="AU52" s="659">
        <f t="shared" si="10"/>
        <v>13.274999999999999</v>
      </c>
      <c r="AV52">
        <v>11.47</v>
      </c>
      <c r="AW52">
        <v>11.76</v>
      </c>
      <c r="AX52" s="659">
        <f t="shared" si="11"/>
        <v>11.615</v>
      </c>
      <c r="AY52">
        <v>10.199999999999999</v>
      </c>
      <c r="AZ52">
        <v>10.45</v>
      </c>
      <c r="BA52" s="659">
        <f t="shared" si="12"/>
        <v>10.324999999999999</v>
      </c>
      <c r="BB52">
        <v>13.11</v>
      </c>
      <c r="BC52">
        <v>13.44</v>
      </c>
      <c r="BD52" s="659">
        <f t="shared" si="13"/>
        <v>13.274999999999999</v>
      </c>
      <c r="BE52">
        <v>9.36</v>
      </c>
      <c r="BF52">
        <v>9.52</v>
      </c>
      <c r="BG52" s="659">
        <f t="shared" si="14"/>
        <v>9.44</v>
      </c>
      <c r="BH52">
        <v>8.32</v>
      </c>
      <c r="BI52">
        <v>8.4600000000000009</v>
      </c>
      <c r="BJ52" s="659">
        <f t="shared" si="15"/>
        <v>8.39</v>
      </c>
      <c r="BK52">
        <v>9.24</v>
      </c>
      <c r="BL52">
        <v>9.4</v>
      </c>
      <c r="BM52" s="659">
        <f t="shared" si="16"/>
        <v>9.32</v>
      </c>
      <c r="BN52">
        <v>9.98</v>
      </c>
      <c r="BO52">
        <v>10.14</v>
      </c>
      <c r="BP52" s="659">
        <f t="shared" si="17"/>
        <v>10.06</v>
      </c>
      <c r="BQ52">
        <v>8.8000000000000007</v>
      </c>
      <c r="BR52">
        <v>8.94</v>
      </c>
      <c r="BS52" s="659">
        <f t="shared" si="18"/>
        <v>8.870000000000001</v>
      </c>
      <c r="BT52">
        <v>7.91</v>
      </c>
      <c r="BU52">
        <v>8.0399999999999991</v>
      </c>
      <c r="BV52" s="659">
        <f t="shared" si="19"/>
        <v>7.9749999999999996</v>
      </c>
      <c r="BW52">
        <v>16.55</v>
      </c>
      <c r="BX52">
        <v>16</v>
      </c>
      <c r="BY52" s="659">
        <f t="shared" si="20"/>
        <v>16.274999999999999</v>
      </c>
      <c r="BZ52">
        <v>13.79</v>
      </c>
      <c r="CA52">
        <v>13.33</v>
      </c>
      <c r="CB52" s="659">
        <f t="shared" si="21"/>
        <v>13.559999999999999</v>
      </c>
      <c r="CC52">
        <v>16.86</v>
      </c>
      <c r="CD52">
        <v>16.41</v>
      </c>
      <c r="CE52" s="659">
        <f t="shared" si="22"/>
        <v>16.634999999999998</v>
      </c>
      <c r="CF52">
        <v>15.18</v>
      </c>
      <c r="CG52">
        <v>14.77</v>
      </c>
      <c r="CH52" s="659">
        <f t="shared" si="23"/>
        <v>14.975</v>
      </c>
    </row>
    <row r="53" spans="1:86">
      <c r="A53">
        <v>310</v>
      </c>
      <c r="B53">
        <v>310</v>
      </c>
      <c r="C53">
        <v>310</v>
      </c>
      <c r="D53">
        <v>350</v>
      </c>
      <c r="E53">
        <v>430</v>
      </c>
      <c r="F53">
        <v>460</v>
      </c>
      <c r="G53">
        <v>555</v>
      </c>
      <c r="H53">
        <v>555</v>
      </c>
      <c r="I53">
        <v>1025</v>
      </c>
      <c r="J53">
        <v>330</v>
      </c>
      <c r="K53">
        <v>430</v>
      </c>
      <c r="L53">
        <v>430</v>
      </c>
      <c r="M53">
        <v>430</v>
      </c>
      <c r="O53" s="656">
        <v>11.38</v>
      </c>
      <c r="P53" s="458">
        <v>11</v>
      </c>
      <c r="Q53" s="221">
        <f t="shared" si="0"/>
        <v>11.190000000000001</v>
      </c>
      <c r="R53" s="656">
        <v>11.38</v>
      </c>
      <c r="S53" s="458">
        <v>11</v>
      </c>
      <c r="T53" s="458">
        <f t="shared" si="1"/>
        <v>11.190000000000001</v>
      </c>
      <c r="U53" s="657">
        <v>9.16</v>
      </c>
      <c r="V53" s="458">
        <v>8.83</v>
      </c>
      <c r="W53" s="221">
        <f t="shared" si="2"/>
        <v>8.995000000000001</v>
      </c>
      <c r="X53" s="458">
        <v>8.36</v>
      </c>
      <c r="Y53" s="458">
        <v>8.06</v>
      </c>
      <c r="Z53" s="659">
        <f t="shared" si="3"/>
        <v>8.2100000000000009</v>
      </c>
      <c r="AA53">
        <v>9.32</v>
      </c>
      <c r="AB53">
        <v>10.119999999999999</v>
      </c>
      <c r="AC53" s="659">
        <f t="shared" si="4"/>
        <v>9.7199999999999989</v>
      </c>
      <c r="AD53">
        <v>7.99</v>
      </c>
      <c r="AE53">
        <v>8.67</v>
      </c>
      <c r="AF53" s="659">
        <f t="shared" si="5"/>
        <v>8.33</v>
      </c>
      <c r="AG53">
        <v>9.1</v>
      </c>
      <c r="AH53">
        <v>12.93</v>
      </c>
      <c r="AI53" s="659">
        <f t="shared" si="6"/>
        <v>11.015000000000001</v>
      </c>
      <c r="AJ53">
        <v>7.99</v>
      </c>
      <c r="AK53">
        <v>11.36</v>
      </c>
      <c r="AL53" s="659">
        <f t="shared" si="7"/>
        <v>9.6750000000000007</v>
      </c>
      <c r="AM53">
        <v>8.5500000000000007</v>
      </c>
      <c r="AN53">
        <v>9.14</v>
      </c>
      <c r="AO53" s="659">
        <f t="shared" si="8"/>
        <v>8.8450000000000006</v>
      </c>
      <c r="AP53">
        <v>7.6</v>
      </c>
      <c r="AQ53">
        <v>8.1199999999999992</v>
      </c>
      <c r="AR53" s="659">
        <f t="shared" si="9"/>
        <v>7.8599999999999994</v>
      </c>
      <c r="AS53">
        <v>13.41</v>
      </c>
      <c r="AT53">
        <v>13.22</v>
      </c>
      <c r="AU53" s="659">
        <f t="shared" si="10"/>
        <v>13.315000000000001</v>
      </c>
      <c r="AV53">
        <v>11.73</v>
      </c>
      <c r="AW53">
        <v>11.57</v>
      </c>
      <c r="AX53" s="659">
        <f t="shared" si="11"/>
        <v>11.65</v>
      </c>
      <c r="AY53">
        <v>10.42</v>
      </c>
      <c r="AZ53">
        <v>10.28</v>
      </c>
      <c r="BA53" s="659">
        <f t="shared" si="12"/>
        <v>10.35</v>
      </c>
      <c r="BB53">
        <v>13.41</v>
      </c>
      <c r="BC53">
        <v>13.22</v>
      </c>
      <c r="BD53" s="659">
        <f t="shared" si="13"/>
        <v>13.315000000000001</v>
      </c>
      <c r="BE53">
        <v>9.73</v>
      </c>
      <c r="BF53">
        <v>9.4499999999999993</v>
      </c>
      <c r="BG53" s="659">
        <f t="shared" si="14"/>
        <v>9.59</v>
      </c>
      <c r="BH53">
        <v>8.65</v>
      </c>
      <c r="BI53">
        <v>8.4</v>
      </c>
      <c r="BJ53" s="659">
        <f t="shared" si="15"/>
        <v>8.5250000000000004</v>
      </c>
      <c r="BK53">
        <v>9.61</v>
      </c>
      <c r="BL53">
        <v>9.33</v>
      </c>
      <c r="BM53" s="659">
        <f t="shared" si="16"/>
        <v>9.4699999999999989</v>
      </c>
      <c r="BN53">
        <v>10.3</v>
      </c>
      <c r="BO53">
        <v>10.7</v>
      </c>
      <c r="BP53" s="659">
        <f t="shared" si="17"/>
        <v>10.5</v>
      </c>
      <c r="BQ53">
        <v>9.09</v>
      </c>
      <c r="BR53">
        <v>9.4499999999999993</v>
      </c>
      <c r="BS53" s="659">
        <f t="shared" si="18"/>
        <v>9.27</v>
      </c>
      <c r="BT53">
        <v>8.17</v>
      </c>
      <c r="BU53">
        <v>8.49</v>
      </c>
      <c r="BV53" s="659">
        <f t="shared" si="19"/>
        <v>8.33</v>
      </c>
      <c r="BW53">
        <v>15.15</v>
      </c>
      <c r="BX53">
        <v>14.79</v>
      </c>
      <c r="BY53" s="659">
        <f t="shared" si="20"/>
        <v>14.969999999999999</v>
      </c>
      <c r="BZ53">
        <v>12.63</v>
      </c>
      <c r="CA53">
        <v>12.33</v>
      </c>
      <c r="CB53" s="659">
        <f t="shared" si="21"/>
        <v>12.48</v>
      </c>
      <c r="CC53">
        <v>21.92</v>
      </c>
      <c r="CD53">
        <v>20.69</v>
      </c>
      <c r="CE53" s="659">
        <f t="shared" si="22"/>
        <v>21.305</v>
      </c>
      <c r="CF53">
        <v>19.73</v>
      </c>
      <c r="CG53">
        <v>18.62</v>
      </c>
      <c r="CH53" s="659">
        <f t="shared" si="23"/>
        <v>19.175000000000001</v>
      </c>
    </row>
    <row r="54" spans="1:86">
      <c r="A54">
        <v>320</v>
      </c>
      <c r="B54">
        <v>320</v>
      </c>
      <c r="C54">
        <v>320</v>
      </c>
      <c r="D54">
        <v>360</v>
      </c>
      <c r="E54">
        <v>440</v>
      </c>
      <c r="F54">
        <v>470</v>
      </c>
      <c r="G54">
        <v>570</v>
      </c>
      <c r="H54">
        <v>570</v>
      </c>
      <c r="I54">
        <v>1050</v>
      </c>
      <c r="J54">
        <v>340</v>
      </c>
      <c r="K54">
        <v>440</v>
      </c>
      <c r="L54">
        <v>440</v>
      </c>
      <c r="M54">
        <v>440</v>
      </c>
      <c r="O54" s="656">
        <v>13.7</v>
      </c>
      <c r="P54" s="458">
        <v>14.72</v>
      </c>
      <c r="Q54" s="221">
        <f t="shared" si="0"/>
        <v>14.21</v>
      </c>
      <c r="R54" s="656">
        <v>13.7</v>
      </c>
      <c r="S54" s="458">
        <v>14.72</v>
      </c>
      <c r="T54" s="458">
        <f t="shared" si="1"/>
        <v>14.21</v>
      </c>
      <c r="U54" s="657">
        <v>11.35</v>
      </c>
      <c r="V54" s="458">
        <v>12.44</v>
      </c>
      <c r="W54" s="221">
        <f t="shared" si="2"/>
        <v>11.895</v>
      </c>
      <c r="X54" s="458">
        <v>10.36</v>
      </c>
      <c r="Y54" s="458">
        <v>11.35</v>
      </c>
      <c r="Z54" s="659">
        <f t="shared" si="3"/>
        <v>10.855</v>
      </c>
      <c r="AA54">
        <v>8.5299999999999994</v>
      </c>
      <c r="AB54">
        <v>9.41</v>
      </c>
      <c r="AC54" s="659">
        <f t="shared" si="4"/>
        <v>8.9699999999999989</v>
      </c>
      <c r="AD54">
        <v>7.31</v>
      </c>
      <c r="AE54">
        <v>8.07</v>
      </c>
      <c r="AF54" s="659">
        <f t="shared" si="5"/>
        <v>7.6899999999999995</v>
      </c>
      <c r="AG54">
        <v>8.42</v>
      </c>
      <c r="AH54">
        <v>11.39</v>
      </c>
      <c r="AI54" s="659">
        <f t="shared" si="6"/>
        <v>9.9050000000000011</v>
      </c>
      <c r="AJ54">
        <v>7.4</v>
      </c>
      <c r="AK54">
        <v>10.01</v>
      </c>
      <c r="AL54" s="659">
        <f t="shared" si="7"/>
        <v>8.7050000000000001</v>
      </c>
      <c r="AM54">
        <v>11.32</v>
      </c>
      <c r="AN54">
        <v>10.62</v>
      </c>
      <c r="AO54" s="659">
        <f t="shared" si="8"/>
        <v>10.969999999999999</v>
      </c>
      <c r="AP54">
        <v>10.07</v>
      </c>
      <c r="AQ54">
        <v>9.44</v>
      </c>
      <c r="AR54" s="659">
        <f t="shared" si="9"/>
        <v>9.754999999999999</v>
      </c>
      <c r="AS54">
        <v>11.92</v>
      </c>
      <c r="AT54">
        <v>12.14</v>
      </c>
      <c r="AU54" s="659">
        <f t="shared" si="10"/>
        <v>12.030000000000001</v>
      </c>
      <c r="AV54">
        <v>10.43</v>
      </c>
      <c r="AW54">
        <v>10.62</v>
      </c>
      <c r="AX54" s="659">
        <f t="shared" si="11"/>
        <v>10.524999999999999</v>
      </c>
      <c r="AY54">
        <v>9.27</v>
      </c>
      <c r="AZ54">
        <v>9.44</v>
      </c>
      <c r="BA54" s="659">
        <f t="shared" si="12"/>
        <v>9.3550000000000004</v>
      </c>
      <c r="BB54">
        <v>11.92</v>
      </c>
      <c r="BC54">
        <v>12.14</v>
      </c>
      <c r="BD54" s="659">
        <f t="shared" si="13"/>
        <v>12.030000000000001</v>
      </c>
      <c r="BE54">
        <v>8.5399999999999991</v>
      </c>
      <c r="BF54">
        <v>8.6199999999999992</v>
      </c>
      <c r="BG54" s="659">
        <f t="shared" si="14"/>
        <v>8.5799999999999983</v>
      </c>
      <c r="BH54">
        <v>7.59</v>
      </c>
      <c r="BI54">
        <v>7.67</v>
      </c>
      <c r="BJ54" s="659">
        <f t="shared" si="15"/>
        <v>7.63</v>
      </c>
      <c r="BK54">
        <v>8.43</v>
      </c>
      <c r="BL54">
        <v>8.52</v>
      </c>
      <c r="BM54" s="659">
        <f t="shared" si="16"/>
        <v>8.4749999999999996</v>
      </c>
      <c r="BN54">
        <v>9.85</v>
      </c>
      <c r="BO54">
        <v>10.210000000000001</v>
      </c>
      <c r="BP54" s="659">
        <f t="shared" si="17"/>
        <v>10.030000000000001</v>
      </c>
      <c r="BQ54">
        <v>8.69</v>
      </c>
      <c r="BR54">
        <v>9.01</v>
      </c>
      <c r="BS54" s="659">
        <f t="shared" si="18"/>
        <v>8.85</v>
      </c>
      <c r="BT54">
        <v>7.81</v>
      </c>
      <c r="BU54">
        <v>8.01</v>
      </c>
      <c r="BV54" s="659">
        <f t="shared" si="19"/>
        <v>7.91</v>
      </c>
      <c r="BW54">
        <v>13.91</v>
      </c>
      <c r="BX54">
        <v>13.7</v>
      </c>
      <c r="BY54" s="659">
        <f t="shared" si="20"/>
        <v>13.805</v>
      </c>
      <c r="BZ54">
        <v>11.6</v>
      </c>
      <c r="CA54">
        <v>11.41</v>
      </c>
      <c r="CB54" s="659">
        <f t="shared" si="21"/>
        <v>11.504999999999999</v>
      </c>
      <c r="CC54">
        <v>20.23</v>
      </c>
      <c r="CD54">
        <v>19.32</v>
      </c>
      <c r="CE54" s="659">
        <f t="shared" si="22"/>
        <v>19.774999999999999</v>
      </c>
      <c r="CF54">
        <v>18.21</v>
      </c>
      <c r="CG54">
        <v>17.39</v>
      </c>
      <c r="CH54" s="659">
        <f t="shared" si="23"/>
        <v>17.8</v>
      </c>
    </row>
    <row r="55" spans="1:86">
      <c r="A55">
        <v>330</v>
      </c>
      <c r="B55">
        <v>330</v>
      </c>
      <c r="C55">
        <v>330</v>
      </c>
      <c r="D55">
        <v>370</v>
      </c>
      <c r="E55">
        <v>450</v>
      </c>
      <c r="F55">
        <v>480</v>
      </c>
      <c r="G55">
        <v>585</v>
      </c>
      <c r="H55">
        <v>585</v>
      </c>
      <c r="I55">
        <v>1075</v>
      </c>
      <c r="J55">
        <v>350</v>
      </c>
      <c r="K55">
        <v>450</v>
      </c>
      <c r="L55">
        <v>450</v>
      </c>
      <c r="M55">
        <v>450</v>
      </c>
      <c r="O55" s="656">
        <v>13.82</v>
      </c>
      <c r="P55" s="458">
        <v>14.57</v>
      </c>
      <c r="Q55" s="221">
        <f t="shared" si="0"/>
        <v>14.195</v>
      </c>
      <c r="R55" s="656">
        <v>13.82</v>
      </c>
      <c r="S55" s="458">
        <v>14.57</v>
      </c>
      <c r="T55" s="458">
        <f t="shared" si="1"/>
        <v>14.195</v>
      </c>
      <c r="U55" s="657">
        <v>11.84</v>
      </c>
      <c r="V55" s="458">
        <v>12.3</v>
      </c>
      <c r="W55" s="221">
        <f t="shared" si="2"/>
        <v>12.07</v>
      </c>
      <c r="X55" s="458">
        <v>10.81</v>
      </c>
      <c r="Y55" s="458">
        <v>11.33</v>
      </c>
      <c r="Z55" s="659">
        <f t="shared" si="3"/>
        <v>11.07</v>
      </c>
      <c r="AA55">
        <v>9.44</v>
      </c>
      <c r="AB55">
        <v>9.77</v>
      </c>
      <c r="AC55" s="659">
        <f t="shared" si="4"/>
        <v>9.6050000000000004</v>
      </c>
      <c r="AD55">
        <v>8.1</v>
      </c>
      <c r="AE55">
        <v>8.2899999999999991</v>
      </c>
      <c r="AF55" s="659">
        <f t="shared" si="5"/>
        <v>8.1950000000000003</v>
      </c>
      <c r="AG55">
        <v>7.79</v>
      </c>
      <c r="AH55">
        <v>9.98</v>
      </c>
      <c r="AI55" s="659">
        <f t="shared" si="6"/>
        <v>8.8849999999999998</v>
      </c>
      <c r="AJ55">
        <v>6.84</v>
      </c>
      <c r="AK55">
        <v>8.77</v>
      </c>
      <c r="AL55" s="659">
        <f t="shared" si="7"/>
        <v>7.8049999999999997</v>
      </c>
      <c r="AM55">
        <v>10.63</v>
      </c>
      <c r="AN55">
        <v>10.02</v>
      </c>
      <c r="AO55" s="659">
        <f t="shared" si="8"/>
        <v>10.324999999999999</v>
      </c>
      <c r="AP55">
        <v>9.4499999999999993</v>
      </c>
      <c r="AQ55">
        <v>8.91</v>
      </c>
      <c r="AR55" s="659">
        <f t="shared" si="9"/>
        <v>9.18</v>
      </c>
      <c r="AS55">
        <v>13.39</v>
      </c>
      <c r="AT55">
        <v>12.09</v>
      </c>
      <c r="AU55" s="659">
        <f t="shared" si="10"/>
        <v>12.74</v>
      </c>
      <c r="AV55">
        <v>11.72</v>
      </c>
      <c r="AW55">
        <v>10.58</v>
      </c>
      <c r="AX55" s="659">
        <f t="shared" si="11"/>
        <v>11.15</v>
      </c>
      <c r="AY55">
        <v>10.42</v>
      </c>
      <c r="AZ55">
        <v>9.4</v>
      </c>
      <c r="BA55" s="659">
        <f t="shared" si="12"/>
        <v>9.91</v>
      </c>
      <c r="BB55">
        <v>13.39</v>
      </c>
      <c r="BC55">
        <v>12.09</v>
      </c>
      <c r="BD55" s="659">
        <f t="shared" si="13"/>
        <v>12.74</v>
      </c>
      <c r="BE55">
        <v>10.77</v>
      </c>
      <c r="BF55">
        <v>9.58</v>
      </c>
      <c r="BG55" s="659">
        <f t="shared" si="14"/>
        <v>10.175000000000001</v>
      </c>
      <c r="BH55">
        <v>9.57</v>
      </c>
      <c r="BI55">
        <v>8.52</v>
      </c>
      <c r="BJ55" s="659">
        <f t="shared" si="15"/>
        <v>9.0449999999999999</v>
      </c>
      <c r="BK55">
        <v>10.63</v>
      </c>
      <c r="BL55">
        <v>9.4700000000000006</v>
      </c>
      <c r="BM55" s="659">
        <f t="shared" si="16"/>
        <v>10.050000000000001</v>
      </c>
      <c r="BN55">
        <v>9.43</v>
      </c>
      <c r="BO55">
        <v>9.76</v>
      </c>
      <c r="BP55" s="659">
        <f t="shared" si="17"/>
        <v>9.5949999999999989</v>
      </c>
      <c r="BQ55">
        <v>8.32</v>
      </c>
      <c r="BR55">
        <v>8.61</v>
      </c>
      <c r="BS55" s="659">
        <f t="shared" si="18"/>
        <v>8.4649999999999999</v>
      </c>
      <c r="BT55">
        <v>7.48</v>
      </c>
      <c r="BU55">
        <v>7.74</v>
      </c>
      <c r="BV55" s="659">
        <f t="shared" si="19"/>
        <v>7.61</v>
      </c>
      <c r="BW55">
        <v>12.77</v>
      </c>
      <c r="BX55">
        <v>12.71</v>
      </c>
      <c r="BY55" s="659">
        <f t="shared" si="20"/>
        <v>12.74</v>
      </c>
      <c r="BZ55">
        <v>10.65</v>
      </c>
      <c r="CA55">
        <v>10.6</v>
      </c>
      <c r="CB55" s="659">
        <f t="shared" si="21"/>
        <v>10.625</v>
      </c>
      <c r="CC55">
        <v>18.66</v>
      </c>
      <c r="CD55">
        <v>18.010000000000002</v>
      </c>
      <c r="CE55" s="659">
        <f t="shared" si="22"/>
        <v>18.335000000000001</v>
      </c>
      <c r="CF55">
        <v>16.79</v>
      </c>
      <c r="CG55">
        <v>16.21</v>
      </c>
      <c r="CH55" s="659">
        <f t="shared" si="23"/>
        <v>16.5</v>
      </c>
    </row>
    <row r="56" spans="1:86">
      <c r="A56">
        <v>340</v>
      </c>
      <c r="B56">
        <v>340</v>
      </c>
      <c r="C56">
        <v>340</v>
      </c>
      <c r="D56">
        <v>380</v>
      </c>
      <c r="E56">
        <v>460</v>
      </c>
      <c r="F56">
        <v>490</v>
      </c>
      <c r="G56">
        <v>600</v>
      </c>
      <c r="H56">
        <v>600</v>
      </c>
      <c r="I56">
        <v>1100</v>
      </c>
      <c r="J56">
        <v>360</v>
      </c>
      <c r="K56">
        <v>460</v>
      </c>
      <c r="L56">
        <v>460</v>
      </c>
      <c r="M56">
        <v>460</v>
      </c>
      <c r="O56" s="656">
        <v>12.43</v>
      </c>
      <c r="P56" s="458">
        <v>13.31</v>
      </c>
      <c r="Q56" s="221">
        <f t="shared" si="0"/>
        <v>12.870000000000001</v>
      </c>
      <c r="R56" s="656">
        <v>12.43</v>
      </c>
      <c r="S56" s="458">
        <v>13.31</v>
      </c>
      <c r="T56" s="458">
        <f t="shared" si="1"/>
        <v>12.870000000000001</v>
      </c>
      <c r="U56" s="657">
        <v>10.28</v>
      </c>
      <c r="V56" s="458">
        <v>11.21</v>
      </c>
      <c r="W56" s="221">
        <f t="shared" si="2"/>
        <v>10.745000000000001</v>
      </c>
      <c r="X56" s="458">
        <v>9.3800000000000008</v>
      </c>
      <c r="Y56" s="458">
        <v>10.23</v>
      </c>
      <c r="Z56" s="659">
        <f t="shared" si="3"/>
        <v>9.8049999999999997</v>
      </c>
      <c r="AA56">
        <v>9.75</v>
      </c>
      <c r="AB56">
        <v>9.57</v>
      </c>
      <c r="AC56" s="659">
        <f t="shared" si="4"/>
        <v>9.66</v>
      </c>
      <c r="AD56">
        <v>8.36</v>
      </c>
      <c r="AE56">
        <v>8.2100000000000009</v>
      </c>
      <c r="AF56" s="659">
        <f t="shared" si="5"/>
        <v>8.2850000000000001</v>
      </c>
      <c r="AG56">
        <v>7.2</v>
      </c>
      <c r="AH56">
        <v>8.68</v>
      </c>
      <c r="AI56" s="659">
        <f t="shared" si="6"/>
        <v>7.9399999999999995</v>
      </c>
      <c r="AJ56">
        <v>6.33</v>
      </c>
      <c r="AK56">
        <v>7.63</v>
      </c>
      <c r="AL56" s="659">
        <f t="shared" si="7"/>
        <v>6.98</v>
      </c>
      <c r="AM56">
        <v>9.98</v>
      </c>
      <c r="AN56">
        <v>9.4600000000000009</v>
      </c>
      <c r="AO56" s="659">
        <f t="shared" si="8"/>
        <v>9.7200000000000006</v>
      </c>
      <c r="AP56">
        <v>8.8699999999999992</v>
      </c>
      <c r="AQ56">
        <v>8.41</v>
      </c>
      <c r="AR56" s="659">
        <f t="shared" si="9"/>
        <v>8.64</v>
      </c>
      <c r="AS56">
        <v>11.55</v>
      </c>
      <c r="AT56">
        <v>10.91</v>
      </c>
      <c r="AU56" s="659">
        <f t="shared" si="10"/>
        <v>11.23</v>
      </c>
      <c r="AV56">
        <v>10.11</v>
      </c>
      <c r="AW56">
        <v>9.5500000000000007</v>
      </c>
      <c r="AX56" s="659">
        <f t="shared" si="11"/>
        <v>9.83</v>
      </c>
      <c r="AY56">
        <v>8.98</v>
      </c>
      <c r="AZ56">
        <v>8.49</v>
      </c>
      <c r="BA56" s="659">
        <f t="shared" si="12"/>
        <v>8.7349999999999994</v>
      </c>
      <c r="BB56">
        <v>11.55</v>
      </c>
      <c r="BC56">
        <v>10.91</v>
      </c>
      <c r="BD56" s="659">
        <f t="shared" si="13"/>
        <v>11.23</v>
      </c>
      <c r="BE56">
        <v>9.2100000000000009</v>
      </c>
      <c r="BF56">
        <v>8.61</v>
      </c>
      <c r="BG56" s="659">
        <f t="shared" si="14"/>
        <v>8.91</v>
      </c>
      <c r="BH56">
        <v>8.18</v>
      </c>
      <c r="BI56">
        <v>7.65</v>
      </c>
      <c r="BJ56" s="659">
        <f t="shared" si="15"/>
        <v>7.915</v>
      </c>
      <c r="BK56">
        <v>9.09</v>
      </c>
      <c r="BL56">
        <v>8.5</v>
      </c>
      <c r="BM56" s="659">
        <f t="shared" si="16"/>
        <v>8.7949999999999999</v>
      </c>
      <c r="BN56">
        <v>9.0500000000000007</v>
      </c>
      <c r="BO56">
        <v>9.34</v>
      </c>
      <c r="BP56" s="659">
        <f t="shared" si="17"/>
        <v>9.1950000000000003</v>
      </c>
      <c r="BQ56">
        <v>7.98</v>
      </c>
      <c r="BR56">
        <v>8.24</v>
      </c>
      <c r="BS56" s="659">
        <f t="shared" si="18"/>
        <v>8.11</v>
      </c>
      <c r="BT56">
        <v>7.17</v>
      </c>
      <c r="BU56">
        <v>7.41</v>
      </c>
      <c r="BV56" s="659">
        <f t="shared" si="19"/>
        <v>7.29</v>
      </c>
      <c r="BW56">
        <v>11.73</v>
      </c>
      <c r="BX56">
        <v>11.82</v>
      </c>
      <c r="BY56" s="659">
        <f t="shared" si="20"/>
        <v>11.775</v>
      </c>
      <c r="BZ56">
        <v>9.7799999999999994</v>
      </c>
      <c r="CA56">
        <v>9.85</v>
      </c>
      <c r="CB56" s="659">
        <f t="shared" si="21"/>
        <v>9.8149999999999995</v>
      </c>
      <c r="CC56">
        <v>17.2</v>
      </c>
      <c r="CD56">
        <v>16.809999999999999</v>
      </c>
      <c r="CE56" s="659">
        <f t="shared" si="22"/>
        <v>17.004999999999999</v>
      </c>
      <c r="CF56">
        <v>15.48</v>
      </c>
      <c r="CG56">
        <v>15.13</v>
      </c>
      <c r="CH56" s="659">
        <f t="shared" si="23"/>
        <v>15.305</v>
      </c>
    </row>
    <row r="57" spans="1:86">
      <c r="A57">
        <v>350</v>
      </c>
      <c r="B57">
        <v>350</v>
      </c>
      <c r="C57">
        <v>350</v>
      </c>
      <c r="D57">
        <v>390</v>
      </c>
      <c r="E57">
        <v>470</v>
      </c>
      <c r="F57">
        <v>500</v>
      </c>
      <c r="G57">
        <v>615</v>
      </c>
      <c r="H57">
        <v>615</v>
      </c>
      <c r="I57">
        <v>1125</v>
      </c>
      <c r="J57">
        <v>370</v>
      </c>
      <c r="K57">
        <v>470</v>
      </c>
      <c r="L57">
        <v>470</v>
      </c>
      <c r="M57">
        <v>470</v>
      </c>
      <c r="O57" s="656">
        <v>12.57</v>
      </c>
      <c r="P57" s="458">
        <v>13.21</v>
      </c>
      <c r="Q57" s="221">
        <f t="shared" si="0"/>
        <v>12.89</v>
      </c>
      <c r="R57" s="656">
        <v>12.57</v>
      </c>
      <c r="S57" s="458">
        <v>13.21</v>
      </c>
      <c r="T57" s="458">
        <f t="shared" si="1"/>
        <v>12.89</v>
      </c>
      <c r="U57" s="657">
        <v>10.74</v>
      </c>
      <c r="V57" s="458">
        <v>11.12</v>
      </c>
      <c r="W57" s="221">
        <f t="shared" si="2"/>
        <v>10.93</v>
      </c>
      <c r="X57" s="458">
        <v>9.81</v>
      </c>
      <c r="Y57" s="458">
        <v>10.16</v>
      </c>
      <c r="Z57" s="659">
        <f t="shared" si="3"/>
        <v>9.9849999999999994</v>
      </c>
      <c r="AA57">
        <v>8.66</v>
      </c>
      <c r="AB57">
        <v>8.83</v>
      </c>
      <c r="AC57" s="659">
        <f t="shared" si="4"/>
        <v>8.745000000000001</v>
      </c>
      <c r="AD57">
        <v>7.42</v>
      </c>
      <c r="AE57">
        <v>7.57</v>
      </c>
      <c r="AF57" s="659">
        <f t="shared" si="5"/>
        <v>7.4950000000000001</v>
      </c>
      <c r="AG57">
        <v>10</v>
      </c>
      <c r="AH57">
        <v>9.5299999999999994</v>
      </c>
      <c r="AI57" s="659">
        <f t="shared" si="6"/>
        <v>9.7650000000000006</v>
      </c>
      <c r="AJ57">
        <v>8.7899999999999991</v>
      </c>
      <c r="AK57">
        <v>8.3800000000000008</v>
      </c>
      <c r="AL57" s="659">
        <f t="shared" si="7"/>
        <v>8.5850000000000009</v>
      </c>
      <c r="AM57">
        <v>9.3800000000000008</v>
      </c>
      <c r="AN57">
        <v>8.94</v>
      </c>
      <c r="AO57" s="659">
        <f t="shared" si="8"/>
        <v>9.16</v>
      </c>
      <c r="AP57">
        <v>8.34</v>
      </c>
      <c r="AQ57">
        <v>7.95</v>
      </c>
      <c r="AR57" s="659">
        <f t="shared" si="9"/>
        <v>8.1449999999999996</v>
      </c>
      <c r="AS57">
        <v>12.24</v>
      </c>
      <c r="AT57">
        <v>11.02</v>
      </c>
      <c r="AU57" s="659">
        <f t="shared" si="10"/>
        <v>11.629999999999999</v>
      </c>
      <c r="AV57">
        <v>10.71</v>
      </c>
      <c r="AW57">
        <v>9.64</v>
      </c>
      <c r="AX57" s="659">
        <f t="shared" si="11"/>
        <v>10.175000000000001</v>
      </c>
      <c r="AY57">
        <v>9.52</v>
      </c>
      <c r="AZ57">
        <v>8.57</v>
      </c>
      <c r="BA57" s="659">
        <f t="shared" si="12"/>
        <v>9.0449999999999999</v>
      </c>
      <c r="BB57">
        <v>12.24</v>
      </c>
      <c r="BC57">
        <v>11.02</v>
      </c>
      <c r="BD57" s="659">
        <f t="shared" si="13"/>
        <v>11.629999999999999</v>
      </c>
      <c r="BE57">
        <v>9.86</v>
      </c>
      <c r="BF57">
        <v>8.74</v>
      </c>
      <c r="BG57" s="659">
        <f t="shared" si="14"/>
        <v>9.3000000000000007</v>
      </c>
      <c r="BH57">
        <v>8.76</v>
      </c>
      <c r="BI57">
        <v>7.77</v>
      </c>
      <c r="BJ57" s="659">
        <f t="shared" si="15"/>
        <v>8.2650000000000006</v>
      </c>
      <c r="BK57">
        <v>9.73</v>
      </c>
      <c r="BL57">
        <v>8.6300000000000008</v>
      </c>
      <c r="BM57" s="659">
        <f t="shared" si="16"/>
        <v>9.18</v>
      </c>
      <c r="BN57">
        <v>8.68</v>
      </c>
      <c r="BO57">
        <v>8.9499999999999993</v>
      </c>
      <c r="BP57" s="659">
        <f t="shared" si="17"/>
        <v>8.8149999999999995</v>
      </c>
      <c r="BQ57">
        <v>7.66</v>
      </c>
      <c r="BR57">
        <v>7.9</v>
      </c>
      <c r="BS57" s="659">
        <f t="shared" si="18"/>
        <v>7.78</v>
      </c>
      <c r="BT57">
        <v>6.88</v>
      </c>
      <c r="BU57">
        <v>7.1</v>
      </c>
      <c r="BV57" s="659">
        <f t="shared" si="19"/>
        <v>6.99</v>
      </c>
      <c r="BW57">
        <v>15.94</v>
      </c>
      <c r="BX57">
        <v>14.59</v>
      </c>
      <c r="BY57" s="659">
        <f t="shared" si="20"/>
        <v>15.265000000000001</v>
      </c>
      <c r="BZ57">
        <v>13.28</v>
      </c>
      <c r="CA57">
        <v>12.15</v>
      </c>
      <c r="CB57" s="659">
        <f t="shared" si="21"/>
        <v>12.715</v>
      </c>
      <c r="CC57">
        <v>15.87</v>
      </c>
      <c r="CD57">
        <v>15.75</v>
      </c>
      <c r="CE57" s="659">
        <f t="shared" si="22"/>
        <v>15.809999999999999</v>
      </c>
      <c r="CF57">
        <v>14.29</v>
      </c>
      <c r="CG57">
        <v>14.17</v>
      </c>
      <c r="CH57" s="659">
        <f t="shared" si="23"/>
        <v>14.23</v>
      </c>
    </row>
    <row r="58" spans="1:86">
      <c r="A58">
        <v>360</v>
      </c>
      <c r="B58">
        <v>360</v>
      </c>
      <c r="C58">
        <v>360</v>
      </c>
      <c r="D58">
        <v>400</v>
      </c>
      <c r="E58">
        <v>480</v>
      </c>
      <c r="F58">
        <v>510</v>
      </c>
      <c r="G58">
        <v>630</v>
      </c>
      <c r="H58">
        <v>630</v>
      </c>
      <c r="I58">
        <v>1150</v>
      </c>
      <c r="J58">
        <v>380</v>
      </c>
      <c r="K58">
        <v>480</v>
      </c>
      <c r="L58">
        <v>480</v>
      </c>
      <c r="M58">
        <v>480</v>
      </c>
      <c r="O58" s="656">
        <v>11.34</v>
      </c>
      <c r="P58" s="458">
        <v>12.1</v>
      </c>
      <c r="Q58" s="221">
        <f t="shared" si="0"/>
        <v>11.719999999999999</v>
      </c>
      <c r="R58" s="656">
        <v>11.34</v>
      </c>
      <c r="S58" s="458">
        <v>12.1</v>
      </c>
      <c r="T58" s="458">
        <f t="shared" si="1"/>
        <v>11.719999999999999</v>
      </c>
      <c r="U58" s="657">
        <v>9.36</v>
      </c>
      <c r="V58" s="458">
        <v>10.17</v>
      </c>
      <c r="W58" s="221">
        <f t="shared" si="2"/>
        <v>9.7650000000000006</v>
      </c>
      <c r="X58" s="458">
        <v>8.5500000000000007</v>
      </c>
      <c r="Y58" s="458">
        <v>9.2799999999999994</v>
      </c>
      <c r="Z58" s="659">
        <f t="shared" si="3"/>
        <v>8.9149999999999991</v>
      </c>
      <c r="AA58">
        <v>8.9600000000000009</v>
      </c>
      <c r="AB58">
        <v>8.8699999999999992</v>
      </c>
      <c r="AC58" s="659">
        <f t="shared" si="4"/>
        <v>8.9149999999999991</v>
      </c>
      <c r="AD58">
        <v>7.78</v>
      </c>
      <c r="AE58">
        <v>7.52</v>
      </c>
      <c r="AF58" s="659">
        <f t="shared" si="5"/>
        <v>7.65</v>
      </c>
      <c r="AG58">
        <v>9.25</v>
      </c>
      <c r="AH58">
        <v>8.9</v>
      </c>
      <c r="AI58" s="659">
        <f t="shared" si="6"/>
        <v>9.0749999999999993</v>
      </c>
      <c r="AJ58">
        <v>8.1300000000000008</v>
      </c>
      <c r="AK58">
        <v>7.82</v>
      </c>
      <c r="AL58" s="659">
        <f t="shared" si="7"/>
        <v>7.9750000000000005</v>
      </c>
      <c r="AM58">
        <v>8.82</v>
      </c>
      <c r="AN58">
        <v>8.4499999999999993</v>
      </c>
      <c r="AO58" s="659">
        <f t="shared" si="8"/>
        <v>8.6349999999999998</v>
      </c>
      <c r="AP58">
        <v>7.84</v>
      </c>
      <c r="AQ58">
        <v>7.51</v>
      </c>
      <c r="AR58" s="659">
        <f t="shared" si="9"/>
        <v>7.6749999999999998</v>
      </c>
      <c r="AS58">
        <v>10.63</v>
      </c>
      <c r="AT58">
        <v>10.01</v>
      </c>
      <c r="AU58" s="659">
        <f t="shared" si="10"/>
        <v>10.32</v>
      </c>
      <c r="AV58">
        <v>9.3000000000000007</v>
      </c>
      <c r="AW58">
        <v>8.76</v>
      </c>
      <c r="AX58" s="659">
        <f t="shared" si="11"/>
        <v>9.0300000000000011</v>
      </c>
      <c r="AY58">
        <v>8.26</v>
      </c>
      <c r="AZ58">
        <v>7.78</v>
      </c>
      <c r="BA58" s="659">
        <f t="shared" si="12"/>
        <v>8.02</v>
      </c>
      <c r="BB58">
        <v>10.63</v>
      </c>
      <c r="BC58">
        <v>10.01</v>
      </c>
      <c r="BD58" s="659">
        <f t="shared" si="13"/>
        <v>10.32</v>
      </c>
      <c r="BE58">
        <v>8.48</v>
      </c>
      <c r="BF58">
        <v>7.9</v>
      </c>
      <c r="BG58" s="659">
        <f t="shared" si="14"/>
        <v>8.1900000000000013</v>
      </c>
      <c r="BH58">
        <v>7.54</v>
      </c>
      <c r="BI58">
        <v>7.03</v>
      </c>
      <c r="BJ58" s="659">
        <f t="shared" si="15"/>
        <v>7.2850000000000001</v>
      </c>
      <c r="BK58">
        <v>8.3800000000000008</v>
      </c>
      <c r="BL58">
        <v>7.81</v>
      </c>
      <c r="BM58" s="659">
        <f t="shared" si="16"/>
        <v>8.0950000000000006</v>
      </c>
      <c r="BN58">
        <v>8.35</v>
      </c>
      <c r="BO58">
        <v>8.59</v>
      </c>
      <c r="BP58" s="659">
        <f t="shared" si="17"/>
        <v>8.4699999999999989</v>
      </c>
      <c r="BQ58">
        <v>7.36</v>
      </c>
      <c r="BR58">
        <v>7.58</v>
      </c>
      <c r="BS58" s="659">
        <f t="shared" si="18"/>
        <v>7.4700000000000006</v>
      </c>
      <c r="BT58">
        <v>6.61</v>
      </c>
      <c r="BU58">
        <v>6.81</v>
      </c>
      <c r="BV58" s="659">
        <f t="shared" si="19"/>
        <v>6.71</v>
      </c>
      <c r="BW58">
        <v>14.74</v>
      </c>
      <c r="BX58">
        <v>13.59</v>
      </c>
      <c r="BY58" s="659">
        <f t="shared" si="20"/>
        <v>14.164999999999999</v>
      </c>
      <c r="BZ58">
        <v>12.28</v>
      </c>
      <c r="CA58">
        <v>11.33</v>
      </c>
      <c r="CB58" s="659">
        <f t="shared" si="21"/>
        <v>11.805</v>
      </c>
      <c r="CC58">
        <v>14.62</v>
      </c>
      <c r="CD58">
        <v>14.71</v>
      </c>
      <c r="CE58" s="659">
        <f t="shared" si="22"/>
        <v>14.664999999999999</v>
      </c>
      <c r="CF58">
        <v>13.15</v>
      </c>
      <c r="CG58">
        <v>13.24</v>
      </c>
      <c r="CH58" s="659">
        <f t="shared" si="23"/>
        <v>13.195</v>
      </c>
    </row>
    <row r="59" spans="1:86">
      <c r="A59">
        <v>370</v>
      </c>
      <c r="B59">
        <v>370</v>
      </c>
      <c r="C59">
        <v>370</v>
      </c>
      <c r="D59">
        <v>410</v>
      </c>
      <c r="E59">
        <v>490</v>
      </c>
      <c r="F59">
        <v>525</v>
      </c>
      <c r="G59">
        <v>645</v>
      </c>
      <c r="H59">
        <v>645</v>
      </c>
      <c r="I59">
        <v>1175</v>
      </c>
      <c r="J59">
        <v>390</v>
      </c>
      <c r="K59">
        <v>490</v>
      </c>
      <c r="L59">
        <v>490</v>
      </c>
      <c r="M59">
        <v>490</v>
      </c>
      <c r="O59" s="656">
        <v>12.05</v>
      </c>
      <c r="P59" s="458">
        <v>12.74</v>
      </c>
      <c r="Q59" s="221">
        <f t="shared" si="0"/>
        <v>12.395</v>
      </c>
      <c r="R59" s="656">
        <v>12.05</v>
      </c>
      <c r="S59" s="458">
        <v>12.74</v>
      </c>
      <c r="T59" s="458">
        <f t="shared" si="1"/>
        <v>12.395</v>
      </c>
      <c r="U59" s="657">
        <v>9.98</v>
      </c>
      <c r="V59" s="458">
        <v>10.71</v>
      </c>
      <c r="W59" s="221">
        <f t="shared" si="2"/>
        <v>10.345000000000001</v>
      </c>
      <c r="X59" s="458">
        <v>9.11</v>
      </c>
      <c r="Y59" s="458">
        <v>9.7799999999999994</v>
      </c>
      <c r="Z59" s="659">
        <f t="shared" si="3"/>
        <v>9.4450000000000003</v>
      </c>
      <c r="AA59">
        <v>7.99</v>
      </c>
      <c r="AB59">
        <v>8.1199999999999992</v>
      </c>
      <c r="AC59" s="659">
        <f t="shared" si="4"/>
        <v>8.0549999999999997</v>
      </c>
      <c r="AD59">
        <v>6.85</v>
      </c>
      <c r="AE59">
        <v>6.96</v>
      </c>
      <c r="AF59" s="659">
        <f t="shared" si="5"/>
        <v>6.9049999999999994</v>
      </c>
      <c r="AG59">
        <v>8.5399999999999991</v>
      </c>
      <c r="AH59">
        <v>8.31</v>
      </c>
      <c r="AI59" s="659">
        <f t="shared" si="6"/>
        <v>8.4250000000000007</v>
      </c>
      <c r="AJ59">
        <v>7.51</v>
      </c>
      <c r="AK59">
        <v>7.3</v>
      </c>
      <c r="AL59" s="659">
        <f t="shared" si="7"/>
        <v>7.4049999999999994</v>
      </c>
      <c r="AM59">
        <v>11.77</v>
      </c>
      <c r="AN59">
        <v>9.81</v>
      </c>
      <c r="AO59" s="659">
        <f t="shared" si="8"/>
        <v>10.79</v>
      </c>
      <c r="AP59">
        <v>10.47</v>
      </c>
      <c r="AQ59">
        <v>8.7200000000000006</v>
      </c>
      <c r="AR59" s="659">
        <f t="shared" si="9"/>
        <v>9.5950000000000006</v>
      </c>
      <c r="AS59">
        <v>12.71</v>
      </c>
      <c r="AT59">
        <v>12.05</v>
      </c>
      <c r="AU59" s="659">
        <f t="shared" si="10"/>
        <v>12.38</v>
      </c>
      <c r="AV59">
        <v>11.12</v>
      </c>
      <c r="AW59">
        <v>10.54</v>
      </c>
      <c r="AX59" s="659">
        <f t="shared" si="11"/>
        <v>10.829999999999998</v>
      </c>
      <c r="AY59">
        <v>9.89</v>
      </c>
      <c r="AZ59">
        <v>9.3699999999999992</v>
      </c>
      <c r="BA59" s="659">
        <f t="shared" si="12"/>
        <v>9.629999999999999</v>
      </c>
      <c r="BB59">
        <v>12.71</v>
      </c>
      <c r="BC59">
        <v>12.05</v>
      </c>
      <c r="BD59" s="659">
        <f t="shared" si="13"/>
        <v>12.38</v>
      </c>
      <c r="BE59">
        <v>9.77</v>
      </c>
      <c r="BF59">
        <v>9.1300000000000008</v>
      </c>
      <c r="BG59" s="659">
        <f t="shared" si="14"/>
        <v>9.4499999999999993</v>
      </c>
      <c r="BH59">
        <v>8.68</v>
      </c>
      <c r="BI59">
        <v>8.1199999999999992</v>
      </c>
      <c r="BJ59" s="659">
        <f t="shared" si="15"/>
        <v>8.3999999999999986</v>
      </c>
      <c r="BK59">
        <v>9.64</v>
      </c>
      <c r="BL59">
        <v>9.02</v>
      </c>
      <c r="BM59" s="659">
        <f t="shared" si="16"/>
        <v>9.33</v>
      </c>
      <c r="BN59">
        <v>8.5299999999999994</v>
      </c>
      <c r="BO59">
        <v>8.77</v>
      </c>
      <c r="BP59" s="659">
        <f t="shared" si="17"/>
        <v>8.6499999999999986</v>
      </c>
      <c r="BQ59">
        <v>7.53</v>
      </c>
      <c r="BR59">
        <v>7.73</v>
      </c>
      <c r="BS59" s="659">
        <f t="shared" si="18"/>
        <v>7.6300000000000008</v>
      </c>
      <c r="BT59">
        <v>6.77</v>
      </c>
      <c r="BU59">
        <v>6.95</v>
      </c>
      <c r="BV59" s="659">
        <f t="shared" si="19"/>
        <v>6.8599999999999994</v>
      </c>
      <c r="BW59">
        <v>13.66</v>
      </c>
      <c r="BX59">
        <v>12.7</v>
      </c>
      <c r="BY59" s="659">
        <f t="shared" si="20"/>
        <v>13.18</v>
      </c>
      <c r="BZ59">
        <v>11.38</v>
      </c>
      <c r="CA59">
        <v>10.58</v>
      </c>
      <c r="CB59" s="659">
        <f t="shared" si="21"/>
        <v>10.98</v>
      </c>
      <c r="CC59">
        <v>26.92</v>
      </c>
      <c r="CD59">
        <v>22.74</v>
      </c>
      <c r="CE59" s="659">
        <f t="shared" si="22"/>
        <v>24.83</v>
      </c>
      <c r="CF59">
        <v>24.23</v>
      </c>
      <c r="CG59">
        <v>20.47</v>
      </c>
      <c r="CH59" s="659">
        <f t="shared" si="23"/>
        <v>22.35</v>
      </c>
    </row>
    <row r="60" spans="1:86">
      <c r="A60">
        <v>380</v>
      </c>
      <c r="B60">
        <v>380</v>
      </c>
      <c r="C60">
        <v>380</v>
      </c>
      <c r="D60">
        <v>420</v>
      </c>
      <c r="E60">
        <v>500</v>
      </c>
      <c r="F60">
        <v>540</v>
      </c>
      <c r="G60">
        <v>660</v>
      </c>
      <c r="H60">
        <v>660</v>
      </c>
      <c r="I60">
        <v>1200</v>
      </c>
      <c r="J60">
        <v>400</v>
      </c>
      <c r="K60">
        <v>500</v>
      </c>
      <c r="L60">
        <v>500</v>
      </c>
      <c r="M60">
        <v>500</v>
      </c>
      <c r="O60" s="656">
        <v>12.51</v>
      </c>
      <c r="P60" s="458">
        <v>12.64</v>
      </c>
      <c r="Q60" s="221">
        <f t="shared" si="0"/>
        <v>12.574999999999999</v>
      </c>
      <c r="R60" s="656">
        <v>12.51</v>
      </c>
      <c r="S60" s="458">
        <v>12.64</v>
      </c>
      <c r="T60" s="458">
        <f t="shared" si="1"/>
        <v>12.574999999999999</v>
      </c>
      <c r="U60" s="657">
        <v>10.38</v>
      </c>
      <c r="V60" s="458">
        <v>10.63</v>
      </c>
      <c r="W60" s="221">
        <f t="shared" si="2"/>
        <v>10.505000000000001</v>
      </c>
      <c r="X60" s="458">
        <v>9.4700000000000006</v>
      </c>
      <c r="Y60" s="458">
        <v>9.6999999999999993</v>
      </c>
      <c r="Z60" s="659">
        <f t="shared" si="3"/>
        <v>9.5850000000000009</v>
      </c>
      <c r="AA60">
        <v>11.72</v>
      </c>
      <c r="AB60">
        <v>17.899999999999999</v>
      </c>
      <c r="AC60" s="659">
        <f t="shared" si="4"/>
        <v>14.809999999999999</v>
      </c>
      <c r="AD60">
        <v>10.050000000000001</v>
      </c>
      <c r="AE60">
        <v>15.34</v>
      </c>
      <c r="AF60" s="659">
        <f t="shared" si="5"/>
        <v>12.695</v>
      </c>
      <c r="AG60">
        <v>7.88</v>
      </c>
      <c r="AH60">
        <v>7.77</v>
      </c>
      <c r="AI60" s="659">
        <f t="shared" si="6"/>
        <v>7.8249999999999993</v>
      </c>
      <c r="AJ60">
        <v>6.93</v>
      </c>
      <c r="AK60">
        <v>6.82</v>
      </c>
      <c r="AL60" s="659">
        <f t="shared" si="7"/>
        <v>6.875</v>
      </c>
      <c r="AM60">
        <v>9.2200000000000006</v>
      </c>
      <c r="AN60">
        <v>8.9</v>
      </c>
      <c r="AO60" s="659">
        <f t="shared" si="8"/>
        <v>9.06</v>
      </c>
      <c r="AP60">
        <v>8.1999999999999993</v>
      </c>
      <c r="AQ60">
        <v>7.91</v>
      </c>
      <c r="AR60" s="659">
        <f t="shared" si="9"/>
        <v>8.0549999999999997</v>
      </c>
      <c r="AS60">
        <v>11.15</v>
      </c>
      <c r="AT60">
        <v>11.04</v>
      </c>
      <c r="AU60" s="659">
        <f t="shared" si="10"/>
        <v>11.094999999999999</v>
      </c>
      <c r="AV60">
        <v>9.76</v>
      </c>
      <c r="AW60">
        <v>9.66</v>
      </c>
      <c r="AX60" s="659">
        <f t="shared" si="11"/>
        <v>9.7100000000000009</v>
      </c>
      <c r="AY60">
        <v>8.68</v>
      </c>
      <c r="AZ60">
        <v>8.59</v>
      </c>
      <c r="BA60" s="659">
        <f t="shared" si="12"/>
        <v>8.6349999999999998</v>
      </c>
      <c r="BB60">
        <v>11.15</v>
      </c>
      <c r="BC60">
        <v>11.04</v>
      </c>
      <c r="BD60" s="659">
        <f t="shared" si="13"/>
        <v>11.094999999999999</v>
      </c>
      <c r="BE60">
        <v>8.4700000000000006</v>
      </c>
      <c r="BF60">
        <v>8.32</v>
      </c>
      <c r="BG60" s="659">
        <f t="shared" si="14"/>
        <v>8.3949999999999996</v>
      </c>
      <c r="BH60">
        <v>7.53</v>
      </c>
      <c r="BI60">
        <v>13.26</v>
      </c>
      <c r="BJ60" s="659">
        <f t="shared" si="15"/>
        <v>10.395</v>
      </c>
      <c r="BK60">
        <v>8.3699999999999992</v>
      </c>
      <c r="BL60">
        <v>14.73</v>
      </c>
      <c r="BM60" s="659">
        <f t="shared" si="16"/>
        <v>11.55</v>
      </c>
      <c r="BN60">
        <v>8.2200000000000006</v>
      </c>
      <c r="BO60">
        <v>8.43</v>
      </c>
      <c r="BP60" s="659">
        <f t="shared" si="17"/>
        <v>8.3249999999999993</v>
      </c>
      <c r="BQ60">
        <v>7.25</v>
      </c>
      <c r="BR60">
        <v>7.44</v>
      </c>
      <c r="BS60" s="659">
        <f t="shared" si="18"/>
        <v>7.3450000000000006</v>
      </c>
      <c r="BT60">
        <v>6.51</v>
      </c>
      <c r="BU60">
        <v>6.68</v>
      </c>
      <c r="BV60" s="659">
        <f t="shared" si="19"/>
        <v>6.5949999999999998</v>
      </c>
      <c r="BW60">
        <v>12.65</v>
      </c>
      <c r="BX60">
        <v>11.86</v>
      </c>
      <c r="BY60" s="659">
        <f t="shared" si="20"/>
        <v>12.254999999999999</v>
      </c>
      <c r="BZ60">
        <v>10.53</v>
      </c>
      <c r="CA60">
        <v>9.89</v>
      </c>
      <c r="CB60" s="659">
        <f t="shared" si="21"/>
        <v>10.210000000000001</v>
      </c>
      <c r="CC60">
        <v>24.71</v>
      </c>
      <c r="CD60">
        <v>21.21</v>
      </c>
      <c r="CE60" s="659">
        <f t="shared" si="22"/>
        <v>22.96</v>
      </c>
      <c r="CF60">
        <v>22.24</v>
      </c>
      <c r="CG60">
        <v>19.09</v>
      </c>
      <c r="CH60" s="659">
        <f t="shared" si="23"/>
        <v>20.664999999999999</v>
      </c>
    </row>
    <row r="61" spans="1:86">
      <c r="A61">
        <v>390</v>
      </c>
      <c r="B61">
        <v>390</v>
      </c>
      <c r="C61">
        <v>390</v>
      </c>
      <c r="D61">
        <v>430</v>
      </c>
      <c r="E61">
        <v>510</v>
      </c>
      <c r="F61">
        <v>555</v>
      </c>
      <c r="G61">
        <v>675</v>
      </c>
      <c r="H61">
        <v>675</v>
      </c>
      <c r="I61">
        <v>1225</v>
      </c>
      <c r="J61">
        <v>410</v>
      </c>
      <c r="K61">
        <v>510</v>
      </c>
      <c r="L61">
        <v>510</v>
      </c>
      <c r="M61">
        <v>510</v>
      </c>
      <c r="O61" s="656">
        <v>11.1</v>
      </c>
      <c r="P61" s="458">
        <v>11.71</v>
      </c>
      <c r="Q61" s="221">
        <f t="shared" si="0"/>
        <v>11.405000000000001</v>
      </c>
      <c r="R61" s="656">
        <v>11.1</v>
      </c>
      <c r="S61" s="458">
        <v>11.71</v>
      </c>
      <c r="T61" s="458">
        <f t="shared" si="1"/>
        <v>11.405000000000001</v>
      </c>
      <c r="U61" s="657">
        <v>9.17</v>
      </c>
      <c r="V61" s="458">
        <v>9.81</v>
      </c>
      <c r="W61" s="221">
        <f t="shared" si="2"/>
        <v>9.49</v>
      </c>
      <c r="X61" s="458">
        <v>8.3800000000000008</v>
      </c>
      <c r="Y61" s="458">
        <v>8.9600000000000009</v>
      </c>
      <c r="Z61" s="659">
        <f t="shared" si="3"/>
        <v>8.6700000000000017</v>
      </c>
      <c r="AA61">
        <v>10.85</v>
      </c>
      <c r="AB61">
        <v>15.89</v>
      </c>
      <c r="AC61" s="659">
        <f t="shared" si="4"/>
        <v>13.370000000000001</v>
      </c>
      <c r="AD61">
        <v>9.3000000000000007</v>
      </c>
      <c r="AE61">
        <v>13.62</v>
      </c>
      <c r="AF61" s="659">
        <f t="shared" si="5"/>
        <v>11.46</v>
      </c>
      <c r="AG61">
        <v>7.27</v>
      </c>
      <c r="AH61">
        <v>7.26</v>
      </c>
      <c r="AI61" s="659">
        <f t="shared" si="6"/>
        <v>7.2649999999999997</v>
      </c>
      <c r="AJ61">
        <v>6.39</v>
      </c>
      <c r="AK61">
        <v>6.38</v>
      </c>
      <c r="AL61" s="659">
        <f t="shared" si="7"/>
        <v>6.3849999999999998</v>
      </c>
      <c r="AM61">
        <v>8.15</v>
      </c>
      <c r="AN61">
        <v>8.07</v>
      </c>
      <c r="AO61" s="659">
        <f t="shared" si="8"/>
        <v>8.11</v>
      </c>
      <c r="AP61">
        <v>7.24</v>
      </c>
      <c r="AQ61">
        <v>7.17</v>
      </c>
      <c r="AR61" s="659">
        <f t="shared" si="9"/>
        <v>7.2050000000000001</v>
      </c>
      <c r="AS61">
        <v>11.73</v>
      </c>
      <c r="AT61">
        <v>11.1</v>
      </c>
      <c r="AU61" s="659">
        <f t="shared" si="10"/>
        <v>11.414999999999999</v>
      </c>
      <c r="AV61">
        <v>10.26</v>
      </c>
      <c r="AW61">
        <v>9.7100000000000009</v>
      </c>
      <c r="AX61" s="659">
        <f t="shared" si="11"/>
        <v>9.9849999999999994</v>
      </c>
      <c r="AY61">
        <v>9.1199999999999992</v>
      </c>
      <c r="AZ61">
        <v>8.6300000000000008</v>
      </c>
      <c r="BA61" s="659">
        <f t="shared" si="12"/>
        <v>8.875</v>
      </c>
      <c r="BB61">
        <v>11.73</v>
      </c>
      <c r="BC61">
        <v>11.1</v>
      </c>
      <c r="BD61" s="659">
        <f t="shared" si="13"/>
        <v>11.414999999999999</v>
      </c>
      <c r="BE61">
        <v>9.0299999999999994</v>
      </c>
      <c r="BF61">
        <v>8.43</v>
      </c>
      <c r="BG61" s="659">
        <f t="shared" si="14"/>
        <v>8.73</v>
      </c>
      <c r="BH61">
        <v>8.02</v>
      </c>
      <c r="BI61">
        <v>12.19</v>
      </c>
      <c r="BJ61" s="659">
        <f t="shared" si="15"/>
        <v>10.105</v>
      </c>
      <c r="BK61">
        <v>8.91</v>
      </c>
      <c r="BL61">
        <v>13.54</v>
      </c>
      <c r="BM61" s="659">
        <f t="shared" si="16"/>
        <v>11.225</v>
      </c>
      <c r="BN61">
        <v>7.92</v>
      </c>
      <c r="BO61">
        <v>8.11</v>
      </c>
      <c r="BP61" s="659">
        <f t="shared" si="17"/>
        <v>8.0150000000000006</v>
      </c>
      <c r="BQ61">
        <v>6.99</v>
      </c>
      <c r="BR61">
        <v>7.16</v>
      </c>
      <c r="BS61" s="659">
        <f t="shared" si="18"/>
        <v>7.0750000000000002</v>
      </c>
      <c r="BT61">
        <v>6.28</v>
      </c>
      <c r="BU61">
        <v>6.43</v>
      </c>
      <c r="BV61" s="659">
        <f t="shared" si="19"/>
        <v>6.3550000000000004</v>
      </c>
      <c r="BW61">
        <v>11.73</v>
      </c>
      <c r="BX61">
        <v>11.11</v>
      </c>
      <c r="BY61" s="659">
        <f t="shared" si="20"/>
        <v>11.42</v>
      </c>
      <c r="BZ61">
        <v>9.77</v>
      </c>
      <c r="CA61">
        <v>9.25</v>
      </c>
      <c r="CB61" s="659">
        <f t="shared" si="21"/>
        <v>9.51</v>
      </c>
      <c r="CC61">
        <v>22.65</v>
      </c>
      <c r="CD61">
        <v>19.79</v>
      </c>
      <c r="CE61" s="659">
        <f t="shared" si="22"/>
        <v>21.22</v>
      </c>
      <c r="CF61">
        <v>20.38</v>
      </c>
      <c r="CG61">
        <v>17.809999999999999</v>
      </c>
      <c r="CH61" s="659">
        <f t="shared" si="23"/>
        <v>19.094999999999999</v>
      </c>
    </row>
    <row r="62" spans="1:86">
      <c r="A62">
        <v>400</v>
      </c>
      <c r="B62">
        <v>400</v>
      </c>
      <c r="C62">
        <v>400</v>
      </c>
      <c r="D62">
        <v>440</v>
      </c>
      <c r="E62">
        <v>525</v>
      </c>
      <c r="F62">
        <v>570</v>
      </c>
      <c r="G62">
        <v>690</v>
      </c>
      <c r="H62">
        <v>690</v>
      </c>
      <c r="I62">
        <v>1250</v>
      </c>
      <c r="J62">
        <v>420</v>
      </c>
      <c r="K62">
        <v>525</v>
      </c>
      <c r="L62">
        <v>525</v>
      </c>
      <c r="M62">
        <v>525</v>
      </c>
      <c r="O62" s="656">
        <v>11.53</v>
      </c>
      <c r="P62" s="458">
        <v>11.64</v>
      </c>
      <c r="Q62" s="221">
        <f t="shared" si="0"/>
        <v>11.585000000000001</v>
      </c>
      <c r="R62" s="656">
        <v>11.53</v>
      </c>
      <c r="S62" s="458">
        <v>11.64</v>
      </c>
      <c r="T62" s="458">
        <f t="shared" si="1"/>
        <v>11.585000000000001</v>
      </c>
      <c r="U62" s="657">
        <v>9.5500000000000007</v>
      </c>
      <c r="V62" s="458">
        <v>9.7799999999999994</v>
      </c>
      <c r="W62" s="221">
        <f t="shared" si="2"/>
        <v>9.6649999999999991</v>
      </c>
      <c r="X62" s="458">
        <v>8.7200000000000006</v>
      </c>
      <c r="Y62" s="458">
        <v>8.91</v>
      </c>
      <c r="Z62" s="659">
        <f t="shared" si="3"/>
        <v>8.8150000000000013</v>
      </c>
      <c r="AA62">
        <v>10.029999999999999</v>
      </c>
      <c r="AB62">
        <v>14.05</v>
      </c>
      <c r="AC62" s="659">
        <f t="shared" si="4"/>
        <v>12.04</v>
      </c>
      <c r="AD62">
        <v>8.6</v>
      </c>
      <c r="AE62">
        <v>12.04</v>
      </c>
      <c r="AF62" s="659">
        <f t="shared" si="5"/>
        <v>10.32</v>
      </c>
      <c r="AG62">
        <v>9.85</v>
      </c>
      <c r="AH62">
        <v>8.59</v>
      </c>
      <c r="AI62" s="659">
        <f t="shared" si="6"/>
        <v>9.2199999999999989</v>
      </c>
      <c r="AJ62">
        <v>8.66</v>
      </c>
      <c r="AK62">
        <v>7.55</v>
      </c>
      <c r="AL62" s="659">
        <f t="shared" si="7"/>
        <v>8.1050000000000004</v>
      </c>
      <c r="AM62">
        <v>7.17</v>
      </c>
      <c r="AN62">
        <v>7.32</v>
      </c>
      <c r="AO62" s="659">
        <f t="shared" si="8"/>
        <v>7.2450000000000001</v>
      </c>
      <c r="AP62">
        <v>6.37</v>
      </c>
      <c r="AQ62">
        <v>6.51</v>
      </c>
      <c r="AR62" s="659">
        <f t="shared" si="9"/>
        <v>6.4399999999999995</v>
      </c>
      <c r="AS62">
        <v>10.56</v>
      </c>
      <c r="AT62">
        <v>10.210000000000001</v>
      </c>
      <c r="AU62" s="659">
        <f t="shared" si="10"/>
        <v>10.385000000000002</v>
      </c>
      <c r="AV62">
        <v>9.24</v>
      </c>
      <c r="AW62">
        <v>8.93</v>
      </c>
      <c r="AX62" s="659">
        <f t="shared" si="11"/>
        <v>9.0850000000000009</v>
      </c>
      <c r="AY62">
        <v>8.2100000000000009</v>
      </c>
      <c r="AZ62">
        <v>7.94</v>
      </c>
      <c r="BA62" s="659">
        <f t="shared" si="12"/>
        <v>8.0750000000000011</v>
      </c>
      <c r="BB62">
        <v>10.56</v>
      </c>
      <c r="BC62">
        <v>10.210000000000001</v>
      </c>
      <c r="BD62" s="659">
        <f t="shared" si="13"/>
        <v>10.385000000000002</v>
      </c>
      <c r="BE62">
        <v>8.0500000000000007</v>
      </c>
      <c r="BF62">
        <v>7.71</v>
      </c>
      <c r="BG62" s="659">
        <f t="shared" si="14"/>
        <v>7.8800000000000008</v>
      </c>
      <c r="BH62">
        <v>7.16</v>
      </c>
      <c r="BI62">
        <v>11.05</v>
      </c>
      <c r="BJ62" s="659">
        <f t="shared" si="15"/>
        <v>9.1050000000000004</v>
      </c>
      <c r="BK62">
        <v>7.96</v>
      </c>
      <c r="BL62">
        <v>12.28</v>
      </c>
      <c r="BM62" s="659">
        <f t="shared" si="16"/>
        <v>10.119999999999999</v>
      </c>
      <c r="BN62">
        <v>7.64</v>
      </c>
      <c r="BO62">
        <v>7.82</v>
      </c>
      <c r="BP62" s="659">
        <f t="shared" si="17"/>
        <v>7.73</v>
      </c>
      <c r="BQ62">
        <v>6.74</v>
      </c>
      <c r="BR62">
        <v>6.9</v>
      </c>
      <c r="BS62" s="659">
        <f t="shared" si="18"/>
        <v>6.82</v>
      </c>
      <c r="BT62">
        <v>6.06</v>
      </c>
      <c r="BU62">
        <v>6.2</v>
      </c>
      <c r="BV62" s="659">
        <f t="shared" si="19"/>
        <v>6.13</v>
      </c>
      <c r="BW62">
        <v>16.39</v>
      </c>
      <c r="BX62">
        <v>23.42</v>
      </c>
      <c r="BY62" s="659">
        <f t="shared" si="20"/>
        <v>19.905000000000001</v>
      </c>
      <c r="BZ62">
        <v>13.66</v>
      </c>
      <c r="CA62">
        <v>19.510000000000002</v>
      </c>
      <c r="CB62" s="659">
        <f t="shared" si="21"/>
        <v>16.585000000000001</v>
      </c>
      <c r="CC62">
        <v>19.850000000000001</v>
      </c>
      <c r="CD62">
        <v>17.87</v>
      </c>
      <c r="CE62" s="659">
        <f t="shared" si="22"/>
        <v>18.86</v>
      </c>
      <c r="CF62">
        <v>17.87</v>
      </c>
      <c r="CG62">
        <v>16.09</v>
      </c>
      <c r="CH62" s="659">
        <f t="shared" si="23"/>
        <v>16.98</v>
      </c>
    </row>
    <row r="63" spans="1:86">
      <c r="A63">
        <v>410</v>
      </c>
      <c r="B63">
        <v>410</v>
      </c>
      <c r="C63">
        <v>410</v>
      </c>
      <c r="D63">
        <v>450</v>
      </c>
      <c r="E63">
        <v>540</v>
      </c>
      <c r="F63">
        <v>585</v>
      </c>
      <c r="G63">
        <v>710</v>
      </c>
      <c r="H63">
        <v>710</v>
      </c>
      <c r="I63">
        <v>1275</v>
      </c>
      <c r="J63">
        <v>430</v>
      </c>
      <c r="K63">
        <v>540</v>
      </c>
      <c r="L63">
        <v>540</v>
      </c>
      <c r="M63">
        <v>540</v>
      </c>
      <c r="O63" s="656">
        <v>10.29</v>
      </c>
      <c r="P63" s="458">
        <v>10.82</v>
      </c>
      <c r="Q63" s="221">
        <f t="shared" si="0"/>
        <v>10.555</v>
      </c>
      <c r="R63" s="656">
        <v>10.29</v>
      </c>
      <c r="S63" s="458">
        <v>10.82</v>
      </c>
      <c r="T63" s="458">
        <f t="shared" si="1"/>
        <v>10.555</v>
      </c>
      <c r="U63" s="657">
        <v>8.49</v>
      </c>
      <c r="V63" s="458">
        <v>9.0500000000000007</v>
      </c>
      <c r="W63" s="221">
        <f t="shared" si="2"/>
        <v>8.77</v>
      </c>
      <c r="X63" s="458">
        <v>7.75</v>
      </c>
      <c r="Y63" s="458">
        <v>8.26</v>
      </c>
      <c r="Z63" s="659">
        <f t="shared" si="3"/>
        <v>8.004999999999999</v>
      </c>
      <c r="AA63">
        <v>9.27</v>
      </c>
      <c r="AB63">
        <v>12.35</v>
      </c>
      <c r="AC63" s="659">
        <f t="shared" si="4"/>
        <v>10.809999999999999</v>
      </c>
      <c r="AD63">
        <v>7.95</v>
      </c>
      <c r="AE63">
        <v>10.59</v>
      </c>
      <c r="AF63" s="659">
        <f t="shared" si="5"/>
        <v>9.27</v>
      </c>
      <c r="AG63">
        <v>8.73</v>
      </c>
      <c r="AH63">
        <v>7.82</v>
      </c>
      <c r="AI63" s="659">
        <f t="shared" si="6"/>
        <v>8.2750000000000004</v>
      </c>
      <c r="AJ63">
        <v>7.67</v>
      </c>
      <c r="AK63">
        <v>6.87</v>
      </c>
      <c r="AL63" s="659">
        <f t="shared" si="7"/>
        <v>7.27</v>
      </c>
      <c r="AM63">
        <v>10.6</v>
      </c>
      <c r="AN63">
        <v>9.42</v>
      </c>
      <c r="AO63" s="659">
        <f t="shared" si="8"/>
        <v>10.01</v>
      </c>
      <c r="AP63">
        <v>9.42</v>
      </c>
      <c r="AQ63">
        <v>8.3800000000000008</v>
      </c>
      <c r="AR63" s="659">
        <f t="shared" si="9"/>
        <v>8.9</v>
      </c>
      <c r="AS63">
        <v>19.829999999999998</v>
      </c>
      <c r="AT63">
        <v>18.399999999999999</v>
      </c>
      <c r="AU63" s="659">
        <f t="shared" si="10"/>
        <v>19.114999999999998</v>
      </c>
      <c r="AV63">
        <v>17.350000000000001</v>
      </c>
      <c r="AW63">
        <v>16.100000000000001</v>
      </c>
      <c r="AX63" s="659">
        <f t="shared" si="11"/>
        <v>16.725000000000001</v>
      </c>
      <c r="AY63">
        <v>15.19</v>
      </c>
      <c r="AZ63">
        <v>14.07</v>
      </c>
      <c r="BA63" s="659">
        <f t="shared" si="12"/>
        <v>14.629999999999999</v>
      </c>
      <c r="BB63">
        <v>19.829999999999998</v>
      </c>
      <c r="BC63">
        <v>18.399999999999999</v>
      </c>
      <c r="BD63" s="659">
        <f t="shared" si="13"/>
        <v>19.114999999999998</v>
      </c>
      <c r="BE63">
        <v>16.46</v>
      </c>
      <c r="BF63">
        <v>15.19</v>
      </c>
      <c r="BG63" s="659">
        <f t="shared" si="14"/>
        <v>15.824999999999999</v>
      </c>
      <c r="BH63">
        <v>14.4</v>
      </c>
      <c r="BI63">
        <v>10.09</v>
      </c>
      <c r="BJ63" s="659">
        <f t="shared" si="15"/>
        <v>12.245000000000001</v>
      </c>
      <c r="BK63">
        <v>16</v>
      </c>
      <c r="BL63">
        <v>11.21</v>
      </c>
      <c r="BM63" s="659">
        <f t="shared" si="16"/>
        <v>13.605</v>
      </c>
      <c r="BN63">
        <v>7.38</v>
      </c>
      <c r="BO63">
        <v>7.54</v>
      </c>
      <c r="BP63" s="659">
        <f t="shared" si="17"/>
        <v>7.46</v>
      </c>
      <c r="BQ63">
        <v>6.51</v>
      </c>
      <c r="BR63">
        <v>6.65</v>
      </c>
      <c r="BS63" s="659">
        <f t="shared" si="18"/>
        <v>6.58</v>
      </c>
      <c r="BT63">
        <v>6.96</v>
      </c>
      <c r="BU63">
        <v>5.98</v>
      </c>
      <c r="BV63" s="659">
        <f t="shared" si="19"/>
        <v>6.4700000000000006</v>
      </c>
      <c r="BW63">
        <v>15.23</v>
      </c>
      <c r="BX63">
        <v>20.88</v>
      </c>
      <c r="BY63" s="659">
        <f t="shared" si="20"/>
        <v>18.055</v>
      </c>
      <c r="BZ63">
        <v>12.7</v>
      </c>
      <c r="CA63">
        <v>17.399999999999999</v>
      </c>
      <c r="CB63" s="659">
        <f t="shared" si="21"/>
        <v>15.049999999999999</v>
      </c>
      <c r="CC63">
        <v>17.29</v>
      </c>
      <c r="CD63">
        <v>16.100000000000001</v>
      </c>
      <c r="CE63" s="659">
        <f t="shared" si="22"/>
        <v>16.695</v>
      </c>
      <c r="CF63">
        <v>15.56</v>
      </c>
      <c r="CG63">
        <v>14.49</v>
      </c>
      <c r="CH63" s="659">
        <f t="shared" si="23"/>
        <v>15.025</v>
      </c>
    </row>
    <row r="64" spans="1:86">
      <c r="A64">
        <v>420</v>
      </c>
      <c r="B64">
        <v>420</v>
      </c>
      <c r="C64">
        <v>420</v>
      </c>
      <c r="D64">
        <v>460</v>
      </c>
      <c r="E64">
        <v>555</v>
      </c>
      <c r="F64">
        <v>600</v>
      </c>
      <c r="G64">
        <v>730</v>
      </c>
      <c r="H64">
        <v>730</v>
      </c>
      <c r="I64">
        <v>1300</v>
      </c>
      <c r="J64">
        <v>440</v>
      </c>
      <c r="K64">
        <v>555</v>
      </c>
      <c r="L64">
        <v>555</v>
      </c>
      <c r="M64">
        <v>555</v>
      </c>
      <c r="O64" s="656">
        <v>15.95</v>
      </c>
      <c r="P64" s="458">
        <v>13.78</v>
      </c>
      <c r="Q64" s="221">
        <f t="shared" si="0"/>
        <v>14.864999999999998</v>
      </c>
      <c r="R64" s="656">
        <v>15.95</v>
      </c>
      <c r="S64" s="458">
        <v>13.78</v>
      </c>
      <c r="T64" s="458">
        <f t="shared" si="1"/>
        <v>14.864999999999998</v>
      </c>
      <c r="U64" s="657">
        <v>13.26</v>
      </c>
      <c r="V64" s="458">
        <v>11.45</v>
      </c>
      <c r="W64" s="221">
        <f t="shared" si="2"/>
        <v>12.355</v>
      </c>
      <c r="X64" s="458">
        <v>12.11</v>
      </c>
      <c r="Y64" s="458">
        <v>10.46</v>
      </c>
      <c r="Z64" s="659">
        <f t="shared" si="3"/>
        <v>11.285</v>
      </c>
      <c r="AA64">
        <v>8.58</v>
      </c>
      <c r="AB64">
        <v>10.79</v>
      </c>
      <c r="AC64" s="659">
        <f t="shared" si="4"/>
        <v>9.6849999999999987</v>
      </c>
      <c r="AD64">
        <v>7.35</v>
      </c>
      <c r="AE64">
        <v>9.25</v>
      </c>
      <c r="AF64" s="659">
        <f t="shared" si="5"/>
        <v>8.3000000000000007</v>
      </c>
      <c r="AG64">
        <v>7.72</v>
      </c>
      <c r="AH64">
        <v>7.12</v>
      </c>
      <c r="AI64" s="659">
        <f t="shared" si="6"/>
        <v>7.42</v>
      </c>
      <c r="AJ64">
        <v>6.78</v>
      </c>
      <c r="AK64">
        <v>6.26</v>
      </c>
      <c r="AL64" s="659">
        <f t="shared" si="7"/>
        <v>6.52</v>
      </c>
      <c r="AM64">
        <v>9.0399999999999991</v>
      </c>
      <c r="AN64">
        <v>8.48</v>
      </c>
      <c r="AO64" s="659">
        <f t="shared" si="8"/>
        <v>8.76</v>
      </c>
      <c r="AP64">
        <v>8.0399999999999991</v>
      </c>
      <c r="AQ64">
        <v>7.53</v>
      </c>
      <c r="AR64" s="659">
        <f t="shared" si="9"/>
        <v>7.7850000000000001</v>
      </c>
      <c r="AS64">
        <v>18.02</v>
      </c>
      <c r="AT64">
        <v>16.78</v>
      </c>
      <c r="AU64" s="659">
        <f t="shared" si="10"/>
        <v>17.399999999999999</v>
      </c>
      <c r="AV64">
        <v>15.77</v>
      </c>
      <c r="AW64">
        <v>14.68</v>
      </c>
      <c r="AX64" s="659">
        <f t="shared" si="11"/>
        <v>15.225</v>
      </c>
      <c r="AY64">
        <v>13.94</v>
      </c>
      <c r="AZ64">
        <v>12.96</v>
      </c>
      <c r="BA64" s="659">
        <f t="shared" si="12"/>
        <v>13.45</v>
      </c>
      <c r="BB64">
        <v>18.02</v>
      </c>
      <c r="BC64">
        <v>16.78</v>
      </c>
      <c r="BD64" s="659">
        <f t="shared" si="13"/>
        <v>17.399999999999999</v>
      </c>
      <c r="BE64">
        <v>14.93</v>
      </c>
      <c r="BF64">
        <v>13.81</v>
      </c>
      <c r="BG64" s="659">
        <f t="shared" si="14"/>
        <v>14.370000000000001</v>
      </c>
      <c r="BH64">
        <v>13.19</v>
      </c>
      <c r="BI64">
        <v>7.4</v>
      </c>
      <c r="BJ64" s="659">
        <f t="shared" si="15"/>
        <v>10.295</v>
      </c>
      <c r="BK64">
        <v>14.66</v>
      </c>
      <c r="BL64">
        <v>8.2200000000000006</v>
      </c>
      <c r="BM64" s="659">
        <f t="shared" si="16"/>
        <v>11.440000000000001</v>
      </c>
      <c r="BN64">
        <v>7.14</v>
      </c>
      <c r="BO64">
        <v>7.28</v>
      </c>
      <c r="BP64" s="659">
        <f t="shared" si="17"/>
        <v>7.21</v>
      </c>
      <c r="BQ64">
        <v>6.29</v>
      </c>
      <c r="BR64">
        <v>6.42</v>
      </c>
      <c r="BS64" s="659">
        <f t="shared" si="18"/>
        <v>6.3550000000000004</v>
      </c>
      <c r="BT64">
        <v>5.65</v>
      </c>
      <c r="BU64">
        <v>5.77</v>
      </c>
      <c r="BV64" s="659">
        <f t="shared" si="19"/>
        <v>5.71</v>
      </c>
      <c r="BW64">
        <v>14.15</v>
      </c>
      <c r="BX64">
        <v>18.54</v>
      </c>
      <c r="BY64" s="659">
        <f t="shared" si="20"/>
        <v>16.344999999999999</v>
      </c>
      <c r="BZ64">
        <v>11.8</v>
      </c>
      <c r="CA64">
        <v>15.46</v>
      </c>
      <c r="CB64" s="659">
        <f t="shared" si="21"/>
        <v>13.63</v>
      </c>
      <c r="CC64">
        <v>14.98</v>
      </c>
      <c r="CD64">
        <v>14.5</v>
      </c>
      <c r="CE64" s="659">
        <f t="shared" si="22"/>
        <v>14.74</v>
      </c>
      <c r="CF64">
        <v>13.48</v>
      </c>
      <c r="CG64">
        <v>13.05</v>
      </c>
      <c r="CH64" s="659">
        <f t="shared" si="23"/>
        <v>13.265000000000001</v>
      </c>
    </row>
    <row r="65" spans="1:86">
      <c r="A65">
        <v>430</v>
      </c>
      <c r="B65">
        <v>430</v>
      </c>
      <c r="C65">
        <v>430</v>
      </c>
      <c r="D65">
        <v>470</v>
      </c>
      <c r="E65">
        <v>570</v>
      </c>
      <c r="F65">
        <v>615</v>
      </c>
      <c r="G65">
        <v>750</v>
      </c>
      <c r="H65">
        <v>750</v>
      </c>
      <c r="J65">
        <v>450</v>
      </c>
      <c r="K65">
        <v>585</v>
      </c>
      <c r="L65">
        <v>585</v>
      </c>
      <c r="M65">
        <v>585</v>
      </c>
      <c r="O65" s="656">
        <v>14.51</v>
      </c>
      <c r="P65" s="458">
        <v>12.84</v>
      </c>
      <c r="Q65" s="221">
        <f t="shared" si="0"/>
        <v>13.675000000000001</v>
      </c>
      <c r="R65" s="656">
        <v>14.51</v>
      </c>
      <c r="S65" s="458">
        <v>12.84</v>
      </c>
      <c r="T65" s="458">
        <f t="shared" si="1"/>
        <v>13.675000000000001</v>
      </c>
      <c r="U65" s="657">
        <v>12.04</v>
      </c>
      <c r="V65" s="458">
        <v>10.65</v>
      </c>
      <c r="W65" s="221">
        <f t="shared" si="2"/>
        <v>11.344999999999999</v>
      </c>
      <c r="X65" s="458">
        <v>11</v>
      </c>
      <c r="Y65" s="458">
        <v>9.73</v>
      </c>
      <c r="Z65" s="659">
        <f t="shared" si="3"/>
        <v>10.365</v>
      </c>
      <c r="AA65">
        <v>11.56</v>
      </c>
      <c r="AB65">
        <v>11.6</v>
      </c>
      <c r="AC65" s="659">
        <f t="shared" si="4"/>
        <v>11.58</v>
      </c>
      <c r="AD65">
        <v>9.91</v>
      </c>
      <c r="AE65">
        <v>9.94</v>
      </c>
      <c r="AF65" s="659">
        <f t="shared" si="5"/>
        <v>9.9250000000000007</v>
      </c>
      <c r="AG65">
        <v>6.79</v>
      </c>
      <c r="AH65">
        <v>6.49</v>
      </c>
      <c r="AI65" s="659">
        <f t="shared" si="6"/>
        <v>6.6400000000000006</v>
      </c>
      <c r="AJ65">
        <v>5.97</v>
      </c>
      <c r="AK65">
        <v>5.7</v>
      </c>
      <c r="AL65" s="659">
        <f t="shared" si="7"/>
        <v>5.835</v>
      </c>
      <c r="AM65">
        <v>9.6999999999999993</v>
      </c>
      <c r="AN65">
        <v>8.61</v>
      </c>
      <c r="AO65" s="659">
        <f t="shared" si="8"/>
        <v>9.1549999999999994</v>
      </c>
      <c r="AP65">
        <v>8.6199999999999992</v>
      </c>
      <c r="AQ65">
        <v>7.65</v>
      </c>
      <c r="AR65" s="659">
        <f t="shared" si="9"/>
        <v>8.1349999999999998</v>
      </c>
      <c r="AS65">
        <v>16.29</v>
      </c>
      <c r="AT65">
        <v>15.25</v>
      </c>
      <c r="AU65" s="659">
        <f t="shared" si="10"/>
        <v>15.77</v>
      </c>
      <c r="AV65">
        <v>14.25</v>
      </c>
      <c r="AW65">
        <v>13.34</v>
      </c>
      <c r="AX65" s="659">
        <f t="shared" si="11"/>
        <v>13.795</v>
      </c>
      <c r="AY65">
        <v>12.59</v>
      </c>
      <c r="AZ65">
        <v>11.78</v>
      </c>
      <c r="BA65" s="659">
        <f t="shared" si="12"/>
        <v>12.184999999999999</v>
      </c>
      <c r="BB65">
        <v>16.29</v>
      </c>
      <c r="BC65">
        <v>15.25</v>
      </c>
      <c r="BD65" s="659">
        <f t="shared" si="13"/>
        <v>15.77</v>
      </c>
      <c r="BE65">
        <v>13.45</v>
      </c>
      <c r="BF65">
        <v>12.52</v>
      </c>
      <c r="BG65" s="659">
        <f t="shared" si="14"/>
        <v>12.984999999999999</v>
      </c>
      <c r="BH65">
        <v>11.88</v>
      </c>
      <c r="BI65">
        <v>7.49</v>
      </c>
      <c r="BJ65" s="659">
        <f t="shared" si="15"/>
        <v>9.6850000000000005</v>
      </c>
      <c r="BK65">
        <v>13.2</v>
      </c>
      <c r="BL65">
        <v>8.32</v>
      </c>
      <c r="BM65" s="659">
        <f t="shared" si="16"/>
        <v>10.76</v>
      </c>
      <c r="BP65" s="659"/>
      <c r="BS65" s="659"/>
      <c r="BV65" s="659"/>
      <c r="BW65">
        <v>13.15</v>
      </c>
      <c r="BX65">
        <v>16.420000000000002</v>
      </c>
      <c r="BY65" s="659">
        <f t="shared" si="20"/>
        <v>14.785</v>
      </c>
      <c r="BZ65">
        <v>10.96</v>
      </c>
      <c r="CA65">
        <v>13.67</v>
      </c>
      <c r="CB65" s="659">
        <f t="shared" si="21"/>
        <v>12.315000000000001</v>
      </c>
      <c r="CC65">
        <v>14.89</v>
      </c>
      <c r="CD65">
        <v>13.6</v>
      </c>
      <c r="CE65" s="659">
        <f t="shared" si="22"/>
        <v>14.245000000000001</v>
      </c>
      <c r="CF65">
        <v>13.32</v>
      </c>
      <c r="CG65">
        <v>12.26</v>
      </c>
      <c r="CH65" s="659">
        <f t="shared" si="23"/>
        <v>12.79</v>
      </c>
    </row>
    <row r="66" spans="1:86">
      <c r="A66">
        <v>440</v>
      </c>
      <c r="B66">
        <v>440</v>
      </c>
      <c r="C66">
        <v>440</v>
      </c>
      <c r="D66">
        <v>480</v>
      </c>
      <c r="E66">
        <v>585</v>
      </c>
      <c r="F66">
        <v>630</v>
      </c>
      <c r="G66">
        <v>770</v>
      </c>
      <c r="H66">
        <v>770</v>
      </c>
      <c r="J66">
        <v>460</v>
      </c>
      <c r="K66">
        <v>600</v>
      </c>
      <c r="L66">
        <v>600</v>
      </c>
      <c r="M66">
        <v>600</v>
      </c>
      <c r="O66" s="656">
        <v>13.18</v>
      </c>
      <c r="P66" s="458">
        <v>11.97</v>
      </c>
      <c r="Q66" s="221">
        <f t="shared" si="0"/>
        <v>12.574999999999999</v>
      </c>
      <c r="R66" s="656">
        <v>13.18</v>
      </c>
      <c r="S66" s="458">
        <v>11.97</v>
      </c>
      <c r="T66" s="458">
        <f t="shared" si="1"/>
        <v>12.574999999999999</v>
      </c>
      <c r="U66" s="657">
        <v>10.92</v>
      </c>
      <c r="V66" s="458">
        <v>9.92</v>
      </c>
      <c r="W66" s="221">
        <f t="shared" si="2"/>
        <v>10.42</v>
      </c>
      <c r="X66" s="458">
        <v>9.9700000000000006</v>
      </c>
      <c r="Y66" s="458">
        <v>9.06</v>
      </c>
      <c r="Z66" s="659">
        <f t="shared" si="3"/>
        <v>9.5150000000000006</v>
      </c>
      <c r="AA66">
        <v>10.67</v>
      </c>
      <c r="AB66">
        <v>10.85</v>
      </c>
      <c r="AC66" s="659">
        <f t="shared" si="4"/>
        <v>10.76</v>
      </c>
      <c r="AD66">
        <v>9.15</v>
      </c>
      <c r="AE66">
        <v>9.3000000000000007</v>
      </c>
      <c r="AF66" s="659">
        <f t="shared" si="5"/>
        <v>9.2250000000000014</v>
      </c>
      <c r="AG66">
        <v>10.32</v>
      </c>
      <c r="AH66">
        <v>9.11</v>
      </c>
      <c r="AI66" s="659">
        <f t="shared" si="6"/>
        <v>9.7149999999999999</v>
      </c>
      <c r="AJ66">
        <v>9.07</v>
      </c>
      <c r="AK66">
        <v>8</v>
      </c>
      <c r="AL66" s="659">
        <f t="shared" si="7"/>
        <v>8.5350000000000001</v>
      </c>
      <c r="AM66">
        <v>8.33</v>
      </c>
      <c r="AN66">
        <v>7.79</v>
      </c>
      <c r="AO66" s="659">
        <f t="shared" si="8"/>
        <v>8.06</v>
      </c>
      <c r="AP66">
        <v>7.4</v>
      </c>
      <c r="AQ66">
        <v>6.93</v>
      </c>
      <c r="AR66" s="659">
        <f t="shared" si="9"/>
        <v>7.165</v>
      </c>
      <c r="AS66">
        <v>14.79</v>
      </c>
      <c r="AT66">
        <v>13.97</v>
      </c>
      <c r="AU66" s="659">
        <f t="shared" si="10"/>
        <v>14.379999999999999</v>
      </c>
      <c r="AV66">
        <v>12.94</v>
      </c>
      <c r="AW66">
        <v>12.22</v>
      </c>
      <c r="AX66" s="659">
        <f t="shared" si="11"/>
        <v>12.58</v>
      </c>
      <c r="AY66">
        <v>11.43</v>
      </c>
      <c r="AZ66">
        <v>10.78</v>
      </c>
      <c r="BA66" s="659">
        <f t="shared" si="12"/>
        <v>11.105</v>
      </c>
      <c r="BB66">
        <v>14.79</v>
      </c>
      <c r="BC66">
        <v>13.97</v>
      </c>
      <c r="BD66" s="659">
        <f t="shared" si="13"/>
        <v>14.379999999999999</v>
      </c>
      <c r="BE66">
        <v>12.19</v>
      </c>
      <c r="BF66">
        <v>11.44</v>
      </c>
      <c r="BG66" s="659">
        <f t="shared" si="14"/>
        <v>11.815</v>
      </c>
      <c r="BH66">
        <v>10.76</v>
      </c>
      <c r="BI66">
        <v>6.85</v>
      </c>
      <c r="BJ66" s="659">
        <f t="shared" si="15"/>
        <v>8.8049999999999997</v>
      </c>
      <c r="BK66">
        <v>11.96</v>
      </c>
      <c r="BL66">
        <v>7.61</v>
      </c>
      <c r="BM66" s="659">
        <f t="shared" si="16"/>
        <v>9.7850000000000001</v>
      </c>
      <c r="BP66" s="659"/>
      <c r="BS66" s="659"/>
      <c r="BV66" s="659"/>
      <c r="BW66">
        <v>12.23</v>
      </c>
      <c r="BX66">
        <v>14.44</v>
      </c>
      <c r="BY66" s="659">
        <f t="shared" si="20"/>
        <v>13.335000000000001</v>
      </c>
      <c r="BZ66">
        <v>10.18</v>
      </c>
      <c r="CA66">
        <v>12.04</v>
      </c>
      <c r="CB66" s="659">
        <f t="shared" si="21"/>
        <v>11.11</v>
      </c>
      <c r="CC66">
        <v>13.83</v>
      </c>
      <c r="CD66">
        <v>12.23</v>
      </c>
      <c r="CE66" s="659">
        <f t="shared" si="22"/>
        <v>13.030000000000001</v>
      </c>
      <c r="CF66">
        <v>12.52</v>
      </c>
      <c r="CG66">
        <v>11.13</v>
      </c>
      <c r="CH66" s="659">
        <f t="shared" si="23"/>
        <v>11.824999999999999</v>
      </c>
    </row>
    <row r="67" spans="1:86">
      <c r="A67">
        <v>450</v>
      </c>
      <c r="B67">
        <v>450</v>
      </c>
      <c r="C67">
        <v>450</v>
      </c>
      <c r="D67">
        <v>490</v>
      </c>
      <c r="E67">
        <v>600</v>
      </c>
      <c r="F67">
        <v>645</v>
      </c>
      <c r="G67">
        <v>790</v>
      </c>
      <c r="H67">
        <v>790</v>
      </c>
      <c r="J67">
        <v>470</v>
      </c>
      <c r="K67">
        <v>615</v>
      </c>
      <c r="L67">
        <v>615</v>
      </c>
      <c r="M67">
        <v>615</v>
      </c>
      <c r="O67" s="656">
        <v>11.96</v>
      </c>
      <c r="P67" s="458">
        <v>11.16</v>
      </c>
      <c r="Q67" s="221">
        <f t="shared" si="0"/>
        <v>11.56</v>
      </c>
      <c r="R67" s="656">
        <v>11.96</v>
      </c>
      <c r="S67" s="458">
        <v>11.16</v>
      </c>
      <c r="T67" s="458">
        <f t="shared" si="1"/>
        <v>11.56</v>
      </c>
      <c r="U67" s="657">
        <v>9.8800000000000008</v>
      </c>
      <c r="V67" s="458">
        <v>9.24</v>
      </c>
      <c r="W67" s="221">
        <f t="shared" si="2"/>
        <v>9.56</v>
      </c>
      <c r="X67" s="458">
        <v>9.02</v>
      </c>
      <c r="Y67" s="458">
        <v>8.43</v>
      </c>
      <c r="Z67" s="659">
        <f t="shared" si="3"/>
        <v>8.7249999999999996</v>
      </c>
      <c r="AA67">
        <v>9.85</v>
      </c>
      <c r="AB67">
        <v>10.14</v>
      </c>
      <c r="AC67" s="659">
        <f t="shared" si="4"/>
        <v>9.995000000000001</v>
      </c>
      <c r="AD67">
        <v>8.44</v>
      </c>
      <c r="AE67">
        <v>8.6999999999999993</v>
      </c>
      <c r="AF67" s="659">
        <f t="shared" si="5"/>
        <v>8.57</v>
      </c>
      <c r="AG67">
        <v>9.1999999999999993</v>
      </c>
      <c r="AH67">
        <v>8.31</v>
      </c>
      <c r="AI67" s="659">
        <f t="shared" si="6"/>
        <v>8.754999999999999</v>
      </c>
      <c r="AJ67">
        <v>8.08</v>
      </c>
      <c r="AK67">
        <v>7.3</v>
      </c>
      <c r="AL67" s="659">
        <f t="shared" si="7"/>
        <v>7.6899999999999995</v>
      </c>
      <c r="AM67">
        <v>9.6300000000000008</v>
      </c>
      <c r="AN67">
        <v>9.01</v>
      </c>
      <c r="AO67" s="659">
        <f t="shared" si="8"/>
        <v>9.32</v>
      </c>
      <c r="AP67">
        <v>8.56</v>
      </c>
      <c r="AQ67">
        <v>8.01</v>
      </c>
      <c r="AR67" s="659">
        <f t="shared" si="9"/>
        <v>8.2850000000000001</v>
      </c>
      <c r="AS67">
        <v>13.35</v>
      </c>
      <c r="AT67">
        <v>11.19</v>
      </c>
      <c r="AU67" s="659">
        <f t="shared" si="10"/>
        <v>12.27</v>
      </c>
      <c r="AV67">
        <v>11.68</v>
      </c>
      <c r="AW67">
        <v>9.7899999999999991</v>
      </c>
      <c r="AX67" s="659">
        <f t="shared" si="11"/>
        <v>10.734999999999999</v>
      </c>
      <c r="AY67">
        <v>10.38</v>
      </c>
      <c r="AZ67">
        <v>8.6999999999999993</v>
      </c>
      <c r="BA67" s="659">
        <f t="shared" si="12"/>
        <v>9.5399999999999991</v>
      </c>
      <c r="BB67">
        <v>13.35</v>
      </c>
      <c r="BC67">
        <v>11.19</v>
      </c>
      <c r="BD67" s="659">
        <f t="shared" si="13"/>
        <v>12.27</v>
      </c>
      <c r="BE67">
        <v>10.63</v>
      </c>
      <c r="BF67">
        <v>8.7100000000000009</v>
      </c>
      <c r="BG67" s="659">
        <f t="shared" si="14"/>
        <v>9.6700000000000017</v>
      </c>
      <c r="BH67">
        <v>9.4499999999999993</v>
      </c>
      <c r="BI67">
        <v>7.74</v>
      </c>
      <c r="BJ67" s="659">
        <f t="shared" si="15"/>
        <v>8.5949999999999989</v>
      </c>
      <c r="BK67">
        <v>10.5</v>
      </c>
      <c r="BL67">
        <v>8.6</v>
      </c>
      <c r="BM67" s="659">
        <f t="shared" si="16"/>
        <v>9.5500000000000007</v>
      </c>
      <c r="BP67" s="659"/>
      <c r="BS67" s="659"/>
      <c r="BV67" s="659"/>
      <c r="BW67">
        <v>15.82</v>
      </c>
      <c r="BX67">
        <v>15.18</v>
      </c>
      <c r="BY67" s="659">
        <f t="shared" si="20"/>
        <v>15.5</v>
      </c>
      <c r="BZ67">
        <v>13.18</v>
      </c>
      <c r="CA67">
        <v>12.65</v>
      </c>
      <c r="CB67" s="659">
        <f t="shared" si="21"/>
        <v>12.914999999999999</v>
      </c>
      <c r="CC67">
        <v>15.45</v>
      </c>
      <c r="CD67">
        <v>13.55</v>
      </c>
      <c r="CE67" s="659">
        <f t="shared" si="22"/>
        <v>14.5</v>
      </c>
      <c r="CF67">
        <v>13.86</v>
      </c>
      <c r="CG67">
        <v>12.18</v>
      </c>
      <c r="CH67" s="659">
        <f t="shared" si="23"/>
        <v>13.02</v>
      </c>
    </row>
    <row r="68" spans="1:86">
      <c r="A68">
        <v>460</v>
      </c>
      <c r="B68">
        <v>460</v>
      </c>
      <c r="C68">
        <v>460</v>
      </c>
      <c r="D68">
        <v>500</v>
      </c>
      <c r="E68">
        <v>615</v>
      </c>
      <c r="F68">
        <v>660</v>
      </c>
      <c r="G68">
        <v>810</v>
      </c>
      <c r="H68">
        <v>810</v>
      </c>
      <c r="J68">
        <v>480</v>
      </c>
      <c r="K68">
        <v>630</v>
      </c>
      <c r="L68">
        <v>630</v>
      </c>
      <c r="M68">
        <v>630</v>
      </c>
      <c r="O68" s="656">
        <v>10.82</v>
      </c>
      <c r="P68" s="458">
        <v>10.42</v>
      </c>
      <c r="Q68" s="221">
        <f t="shared" si="0"/>
        <v>10.620000000000001</v>
      </c>
      <c r="R68" s="656">
        <v>10.82</v>
      </c>
      <c r="S68" s="458">
        <v>10.42</v>
      </c>
      <c r="T68" s="458">
        <f t="shared" si="1"/>
        <v>10.620000000000001</v>
      </c>
      <c r="U68" s="657">
        <v>8.92</v>
      </c>
      <c r="V68" s="458">
        <v>8.61</v>
      </c>
      <c r="W68" s="221">
        <f t="shared" si="2"/>
        <v>8.7650000000000006</v>
      </c>
      <c r="X68" s="458">
        <v>8.15</v>
      </c>
      <c r="Y68" s="458">
        <v>7.86</v>
      </c>
      <c r="Z68" s="659">
        <f t="shared" si="3"/>
        <v>8.0050000000000008</v>
      </c>
      <c r="AA68">
        <v>9.08</v>
      </c>
      <c r="AB68">
        <v>9.49</v>
      </c>
      <c r="AC68" s="659">
        <f t="shared" si="4"/>
        <v>9.2850000000000001</v>
      </c>
      <c r="AD68">
        <v>7.78</v>
      </c>
      <c r="AE68">
        <v>8.14</v>
      </c>
      <c r="AF68" s="659">
        <f t="shared" si="5"/>
        <v>7.9600000000000009</v>
      </c>
      <c r="AG68">
        <v>8.18</v>
      </c>
      <c r="AH68">
        <v>7.58</v>
      </c>
      <c r="AI68" s="659">
        <f t="shared" si="6"/>
        <v>7.88</v>
      </c>
      <c r="AJ68">
        <v>7.19</v>
      </c>
      <c r="AK68">
        <v>6.66</v>
      </c>
      <c r="AL68" s="659">
        <f t="shared" si="7"/>
        <v>6.9250000000000007</v>
      </c>
      <c r="AM68">
        <v>8.33</v>
      </c>
      <c r="AN68">
        <v>8.2100000000000009</v>
      </c>
      <c r="AO68" s="659">
        <f t="shared" si="8"/>
        <v>8.27</v>
      </c>
      <c r="AP68">
        <v>7.41</v>
      </c>
      <c r="AQ68">
        <v>7.3</v>
      </c>
      <c r="AR68" s="659">
        <f t="shared" si="9"/>
        <v>7.3550000000000004</v>
      </c>
      <c r="AS68">
        <v>12.3</v>
      </c>
      <c r="AT68">
        <v>10.38</v>
      </c>
      <c r="AU68" s="659">
        <f t="shared" si="10"/>
        <v>11.34</v>
      </c>
      <c r="AV68">
        <v>10.76</v>
      </c>
      <c r="AW68">
        <v>9.08</v>
      </c>
      <c r="AX68" s="659">
        <f t="shared" si="11"/>
        <v>9.92</v>
      </c>
      <c r="AY68">
        <v>9.57</v>
      </c>
      <c r="AZ68">
        <v>8.07</v>
      </c>
      <c r="BA68" s="659">
        <f t="shared" si="12"/>
        <v>8.82</v>
      </c>
      <c r="BB68">
        <v>12.3</v>
      </c>
      <c r="BC68">
        <v>10.38</v>
      </c>
      <c r="BD68" s="659">
        <f t="shared" si="13"/>
        <v>11.34</v>
      </c>
      <c r="BE68">
        <v>9.77</v>
      </c>
      <c r="BF68">
        <v>8.06</v>
      </c>
      <c r="BG68" s="659">
        <f t="shared" si="14"/>
        <v>8.9149999999999991</v>
      </c>
      <c r="BH68">
        <v>8.68</v>
      </c>
      <c r="BI68">
        <v>7.16</v>
      </c>
      <c r="BJ68" s="659">
        <f t="shared" si="15"/>
        <v>7.92</v>
      </c>
      <c r="BK68">
        <v>9.64</v>
      </c>
      <c r="BL68">
        <v>7.96</v>
      </c>
      <c r="BM68" s="659">
        <f t="shared" si="16"/>
        <v>8.8000000000000007</v>
      </c>
      <c r="BP68" s="659"/>
      <c r="BS68" s="659"/>
      <c r="BV68" s="659"/>
      <c r="BW68">
        <v>14.66</v>
      </c>
      <c r="BX68">
        <v>14.21</v>
      </c>
      <c r="BY68" s="659">
        <f t="shared" si="20"/>
        <v>14.435</v>
      </c>
      <c r="BZ68">
        <v>12.22</v>
      </c>
      <c r="CA68">
        <v>11.84</v>
      </c>
      <c r="CB68" s="659">
        <f t="shared" si="21"/>
        <v>12.030000000000001</v>
      </c>
      <c r="CC68">
        <v>12.71</v>
      </c>
      <c r="CD68">
        <v>10.47</v>
      </c>
      <c r="CE68" s="659">
        <f t="shared" si="22"/>
        <v>11.59</v>
      </c>
      <c r="CF68">
        <v>11.42</v>
      </c>
      <c r="CG68">
        <v>9.3699999999999992</v>
      </c>
      <c r="CH68" s="659">
        <f t="shared" si="23"/>
        <v>10.395</v>
      </c>
    </row>
    <row r="69" spans="1:86">
      <c r="A69">
        <v>470</v>
      </c>
      <c r="B69">
        <v>470</v>
      </c>
      <c r="C69">
        <v>470</v>
      </c>
      <c r="D69">
        <v>510</v>
      </c>
      <c r="E69">
        <v>630</v>
      </c>
      <c r="F69">
        <v>675</v>
      </c>
      <c r="G69">
        <v>830</v>
      </c>
      <c r="H69">
        <v>830</v>
      </c>
      <c r="J69">
        <v>490</v>
      </c>
      <c r="K69">
        <v>645</v>
      </c>
      <c r="L69">
        <v>645</v>
      </c>
      <c r="M69">
        <v>645</v>
      </c>
      <c r="O69" s="656">
        <v>14.67</v>
      </c>
      <c r="P69" s="458">
        <v>12.59</v>
      </c>
      <c r="Q69" s="221">
        <f t="shared" ref="Q69:Q77" si="24">AVERAGE(O69:P69)</f>
        <v>13.629999999999999</v>
      </c>
      <c r="R69" s="656">
        <v>14.67</v>
      </c>
      <c r="S69" s="458">
        <v>12.59</v>
      </c>
      <c r="T69" s="458">
        <f t="shared" ref="T69:T77" si="25">AVERAGE(R69:S69)</f>
        <v>13.629999999999999</v>
      </c>
      <c r="U69" s="657">
        <v>12.2</v>
      </c>
      <c r="V69" s="458">
        <v>10.46</v>
      </c>
      <c r="W69" s="221">
        <f t="shared" ref="W69:W85" si="26">AVERAGE(U69:V69)</f>
        <v>11.33</v>
      </c>
      <c r="X69" s="458">
        <v>11.14</v>
      </c>
      <c r="Y69" s="458">
        <v>9.5500000000000007</v>
      </c>
      <c r="Z69" s="659">
        <f t="shared" ref="Z69:Z85" si="27">AVERAGE(X69:Y69)</f>
        <v>10.345000000000001</v>
      </c>
      <c r="AA69">
        <v>8.36</v>
      </c>
      <c r="AB69">
        <v>8.8800000000000008</v>
      </c>
      <c r="AC69" s="659">
        <f t="shared" ref="AC69:AC89" si="28">AVERAGE(AA69:AB69)</f>
        <v>8.620000000000001</v>
      </c>
      <c r="AD69">
        <v>7.17</v>
      </c>
      <c r="AE69">
        <v>7.61</v>
      </c>
      <c r="AF69" s="659">
        <f t="shared" ref="AF69:AF89" si="29">AVERAGE(AD69:AE69)</f>
        <v>7.3900000000000006</v>
      </c>
      <c r="AG69">
        <v>7.26</v>
      </c>
      <c r="AH69">
        <v>6.92</v>
      </c>
      <c r="AI69" s="659">
        <f t="shared" ref="AI69:AI89" si="30">AVERAGE(AG69:AH69)</f>
        <v>7.09</v>
      </c>
      <c r="AJ69">
        <v>6.38</v>
      </c>
      <c r="AK69">
        <v>6.08</v>
      </c>
      <c r="AL69" s="659">
        <f t="shared" ref="AL69:AL89" si="31">AVERAGE(AJ69:AK69)</f>
        <v>6.23</v>
      </c>
      <c r="AM69">
        <v>8.89</v>
      </c>
      <c r="AN69">
        <v>8.33</v>
      </c>
      <c r="AO69" s="659">
        <f t="shared" ref="AO69:AO90" si="32">AVERAGE(AM69:AN69)</f>
        <v>8.61</v>
      </c>
      <c r="AP69">
        <v>7.91</v>
      </c>
      <c r="AQ69">
        <v>7.4</v>
      </c>
      <c r="AR69" s="659">
        <f t="shared" ref="AR69:AR90" si="33">AVERAGE(AP69:AQ69)</f>
        <v>7.6550000000000002</v>
      </c>
      <c r="AS69">
        <v>11.34</v>
      </c>
      <c r="AT69">
        <v>9.6199999999999992</v>
      </c>
      <c r="AU69" s="659">
        <f t="shared" ref="AU69:AU82" si="34">AVERAGE(AS69:AT69)</f>
        <v>10.48</v>
      </c>
      <c r="AV69">
        <v>9.92</v>
      </c>
      <c r="AW69">
        <v>8.42</v>
      </c>
      <c r="AX69" s="659">
        <f t="shared" ref="AX69:AX82" si="35">AVERAGE(AV69:AW69)</f>
        <v>9.17</v>
      </c>
      <c r="AY69">
        <v>8.82</v>
      </c>
      <c r="AZ69">
        <v>7.49</v>
      </c>
      <c r="BA69" s="659">
        <f t="shared" ref="BA69:BA82" si="36">AVERAGE(AY69:AZ69)</f>
        <v>8.1550000000000011</v>
      </c>
      <c r="BB69">
        <v>11.34</v>
      </c>
      <c r="BC69">
        <v>9.6199999999999992</v>
      </c>
      <c r="BD69" s="659">
        <f t="shared" ref="BD69:BD82" si="37">AVERAGE(BB69:BC69)</f>
        <v>10.48</v>
      </c>
      <c r="BE69">
        <v>8.9700000000000006</v>
      </c>
      <c r="BF69">
        <v>7.45</v>
      </c>
      <c r="BG69" s="659">
        <f t="shared" ref="BG69:BG82" si="38">AVERAGE(BE69:BF69)</f>
        <v>8.2100000000000009</v>
      </c>
      <c r="BH69">
        <v>7.98</v>
      </c>
      <c r="BI69">
        <v>6.62</v>
      </c>
      <c r="BJ69" s="659">
        <f t="shared" ref="BJ69:BJ82" si="39">AVERAGE(BH69:BI69)</f>
        <v>7.3000000000000007</v>
      </c>
      <c r="BK69">
        <v>8.8699999999999992</v>
      </c>
      <c r="BL69">
        <v>7.36</v>
      </c>
      <c r="BM69" s="659">
        <f t="shared" ref="BM69:BM82" si="40">AVERAGE(BK69:BL69)</f>
        <v>8.1150000000000002</v>
      </c>
      <c r="BP69" s="659"/>
      <c r="BS69" s="659"/>
      <c r="BV69" s="659"/>
      <c r="BW69">
        <v>13.59</v>
      </c>
      <c r="BX69">
        <v>13.29</v>
      </c>
      <c r="BY69" s="659">
        <f t="shared" ref="BY69:BY87" si="41">AVERAGE(BW69:BX69)</f>
        <v>13.44</v>
      </c>
      <c r="BZ69">
        <v>11.32</v>
      </c>
      <c r="CA69">
        <v>11.08</v>
      </c>
      <c r="CB69" s="659">
        <f t="shared" ref="CB69:CB87" si="42">AVERAGE(BZ69:CA69)</f>
        <v>11.2</v>
      </c>
      <c r="CC69">
        <v>12.25</v>
      </c>
      <c r="CD69">
        <v>9.68</v>
      </c>
      <c r="CE69" s="659">
        <f t="shared" ref="CE69:CE73" si="43">AVERAGE(CC69:CD69)</f>
        <v>10.965</v>
      </c>
      <c r="CF69">
        <v>10.84</v>
      </c>
      <c r="CG69">
        <v>8.66</v>
      </c>
      <c r="CH69" s="659">
        <f t="shared" ref="CH69:CH73" si="44">AVERAGE(CF69:CG69)</f>
        <v>9.75</v>
      </c>
    </row>
    <row r="70" spans="1:86">
      <c r="A70">
        <v>480</v>
      </c>
      <c r="B70">
        <v>480</v>
      </c>
      <c r="C70">
        <v>480</v>
      </c>
      <c r="D70">
        <v>525</v>
      </c>
      <c r="E70">
        <v>645</v>
      </c>
      <c r="F70">
        <v>690</v>
      </c>
      <c r="G70">
        <v>850</v>
      </c>
      <c r="H70">
        <v>850</v>
      </c>
      <c r="J70">
        <v>500</v>
      </c>
      <c r="K70">
        <v>690</v>
      </c>
      <c r="L70">
        <v>690</v>
      </c>
      <c r="M70">
        <v>690</v>
      </c>
      <c r="O70" s="656">
        <v>13.44</v>
      </c>
      <c r="P70" s="458">
        <v>11.8</v>
      </c>
      <c r="Q70" s="221">
        <f t="shared" si="24"/>
        <v>12.620000000000001</v>
      </c>
      <c r="R70" s="656">
        <v>13.44</v>
      </c>
      <c r="S70" s="458">
        <v>11.8</v>
      </c>
      <c r="T70" s="458">
        <f t="shared" si="25"/>
        <v>12.620000000000001</v>
      </c>
      <c r="U70" s="657">
        <v>11.16</v>
      </c>
      <c r="V70" s="458">
        <v>9.7799999999999994</v>
      </c>
      <c r="W70" s="221">
        <f t="shared" si="26"/>
        <v>10.469999999999999</v>
      </c>
      <c r="X70" s="458">
        <v>10.19</v>
      </c>
      <c r="Y70" s="458">
        <v>8.93</v>
      </c>
      <c r="Z70" s="659">
        <f t="shared" si="27"/>
        <v>9.5599999999999987</v>
      </c>
      <c r="AA70">
        <v>11.47</v>
      </c>
      <c r="AB70">
        <v>9.85</v>
      </c>
      <c r="AC70" s="659">
        <f t="shared" si="28"/>
        <v>10.66</v>
      </c>
      <c r="AD70">
        <v>9.84</v>
      </c>
      <c r="AE70">
        <v>8.4499999999999993</v>
      </c>
      <c r="AF70" s="659">
        <f t="shared" si="29"/>
        <v>9.1449999999999996</v>
      </c>
      <c r="AG70">
        <v>9.91</v>
      </c>
      <c r="AH70">
        <v>9.64</v>
      </c>
      <c r="AI70" s="659">
        <f t="shared" si="30"/>
        <v>9.7750000000000004</v>
      </c>
      <c r="AJ70">
        <v>8.7100000000000009</v>
      </c>
      <c r="AK70">
        <v>8.4700000000000006</v>
      </c>
      <c r="AL70" s="659">
        <f t="shared" si="31"/>
        <v>8.59</v>
      </c>
      <c r="AM70">
        <v>7.93</v>
      </c>
      <c r="AN70">
        <v>7.61</v>
      </c>
      <c r="AO70" s="659">
        <f t="shared" si="32"/>
        <v>7.77</v>
      </c>
      <c r="AP70">
        <v>7.05</v>
      </c>
      <c r="AQ70">
        <v>6.77</v>
      </c>
      <c r="AR70" s="659">
        <f t="shared" si="33"/>
        <v>6.91</v>
      </c>
      <c r="AS70">
        <v>10.45</v>
      </c>
      <c r="AT70">
        <v>83.94</v>
      </c>
      <c r="AU70" s="659">
        <f t="shared" si="34"/>
        <v>47.195</v>
      </c>
      <c r="AV70">
        <v>9.14</v>
      </c>
      <c r="AW70">
        <v>7.82</v>
      </c>
      <c r="AX70" s="659">
        <f t="shared" si="35"/>
        <v>8.48</v>
      </c>
      <c r="AY70">
        <v>8.1300000000000008</v>
      </c>
      <c r="AZ70">
        <v>6.95</v>
      </c>
      <c r="BA70" s="659">
        <f t="shared" si="36"/>
        <v>7.5400000000000009</v>
      </c>
      <c r="BB70">
        <v>10.45</v>
      </c>
      <c r="BC70">
        <v>8.94</v>
      </c>
      <c r="BD70" s="659">
        <f t="shared" si="37"/>
        <v>9.6950000000000003</v>
      </c>
      <c r="BE70">
        <v>8.24</v>
      </c>
      <c r="BF70">
        <v>6.89</v>
      </c>
      <c r="BG70" s="659">
        <f t="shared" si="38"/>
        <v>7.5649999999999995</v>
      </c>
      <c r="BH70">
        <v>7.32</v>
      </c>
      <c r="BI70">
        <v>6.13</v>
      </c>
      <c r="BJ70" s="659">
        <f t="shared" si="39"/>
        <v>6.7249999999999996</v>
      </c>
      <c r="BK70">
        <v>8.1300000000000008</v>
      </c>
      <c r="BL70">
        <v>6.81</v>
      </c>
      <c r="BM70" s="659">
        <f t="shared" si="40"/>
        <v>7.4700000000000006</v>
      </c>
      <c r="BP70" s="659"/>
      <c r="BS70" s="659"/>
      <c r="BV70" s="659"/>
      <c r="BW70">
        <v>12.59</v>
      </c>
      <c r="BX70">
        <v>12.46</v>
      </c>
      <c r="BY70" s="659">
        <f t="shared" si="41"/>
        <v>12.525</v>
      </c>
      <c r="BZ70">
        <v>10.49</v>
      </c>
      <c r="CA70">
        <v>10.38</v>
      </c>
      <c r="CB70" s="659">
        <f t="shared" si="42"/>
        <v>10.435</v>
      </c>
      <c r="CC70">
        <v>15.18</v>
      </c>
      <c r="CD70">
        <v>10.74</v>
      </c>
      <c r="CE70" s="659">
        <f t="shared" si="43"/>
        <v>12.96</v>
      </c>
      <c r="CF70">
        <v>13.66</v>
      </c>
      <c r="CG70">
        <v>9.66</v>
      </c>
      <c r="CH70" s="659">
        <f t="shared" si="44"/>
        <v>11.66</v>
      </c>
    </row>
    <row r="71" spans="1:86">
      <c r="A71">
        <v>490</v>
      </c>
      <c r="B71">
        <v>490</v>
      </c>
      <c r="C71">
        <v>490</v>
      </c>
      <c r="D71">
        <v>540</v>
      </c>
      <c r="E71">
        <v>660</v>
      </c>
      <c r="F71">
        <v>710</v>
      </c>
      <c r="G71">
        <v>875</v>
      </c>
      <c r="H71">
        <v>875</v>
      </c>
      <c r="J71">
        <v>510</v>
      </c>
      <c r="K71">
        <v>710</v>
      </c>
      <c r="L71">
        <v>710</v>
      </c>
      <c r="M71">
        <v>710</v>
      </c>
      <c r="O71" s="656">
        <v>12.29</v>
      </c>
      <c r="P71" s="458">
        <v>11.06</v>
      </c>
      <c r="Q71" s="221">
        <f t="shared" si="24"/>
        <v>11.675000000000001</v>
      </c>
      <c r="R71" s="656">
        <v>12.29</v>
      </c>
      <c r="S71" s="458">
        <v>11.06</v>
      </c>
      <c r="T71" s="458">
        <f t="shared" si="25"/>
        <v>11.675000000000001</v>
      </c>
      <c r="U71" s="657">
        <v>10.19</v>
      </c>
      <c r="V71" s="458">
        <v>9.16</v>
      </c>
      <c r="W71" s="221">
        <f t="shared" si="26"/>
        <v>9.6750000000000007</v>
      </c>
      <c r="X71" s="458">
        <v>9.31</v>
      </c>
      <c r="Y71" s="458">
        <v>8.36</v>
      </c>
      <c r="Z71" s="659">
        <f t="shared" si="27"/>
        <v>8.8350000000000009</v>
      </c>
      <c r="AA71">
        <v>10.15</v>
      </c>
      <c r="AB71">
        <v>8.9600000000000009</v>
      </c>
      <c r="AC71" s="659">
        <f t="shared" si="28"/>
        <v>9.5549999999999997</v>
      </c>
      <c r="AD71">
        <v>8.6999999999999993</v>
      </c>
      <c r="AE71">
        <v>7.68</v>
      </c>
      <c r="AF71" s="659">
        <f t="shared" si="29"/>
        <v>8.19</v>
      </c>
      <c r="AG71">
        <v>8.93</v>
      </c>
      <c r="AH71">
        <v>8.82</v>
      </c>
      <c r="AI71" s="659">
        <f t="shared" si="30"/>
        <v>8.875</v>
      </c>
      <c r="AJ71">
        <v>7.85</v>
      </c>
      <c r="AK71">
        <v>7.75</v>
      </c>
      <c r="AL71" s="659">
        <f t="shared" si="31"/>
        <v>7.8</v>
      </c>
      <c r="AM71">
        <v>12.45</v>
      </c>
      <c r="AN71">
        <v>10.96</v>
      </c>
      <c r="AO71" s="659">
        <f t="shared" si="32"/>
        <v>11.705</v>
      </c>
      <c r="AP71">
        <v>11.06</v>
      </c>
      <c r="AQ71">
        <v>9.75</v>
      </c>
      <c r="AR71" s="659">
        <f t="shared" si="33"/>
        <v>10.405000000000001</v>
      </c>
      <c r="AS71">
        <v>13.07</v>
      </c>
      <c r="AT71">
        <v>12.03</v>
      </c>
      <c r="AU71" s="659">
        <f t="shared" si="34"/>
        <v>12.55</v>
      </c>
      <c r="AV71">
        <v>11.44</v>
      </c>
      <c r="AW71">
        <v>10.53</v>
      </c>
      <c r="AX71" s="659">
        <f t="shared" si="35"/>
        <v>10.984999999999999</v>
      </c>
      <c r="AY71">
        <v>10.17</v>
      </c>
      <c r="AZ71">
        <v>9.36</v>
      </c>
      <c r="BA71" s="659">
        <f t="shared" si="36"/>
        <v>9.7650000000000006</v>
      </c>
      <c r="BB71">
        <v>13.07</v>
      </c>
      <c r="BC71">
        <v>12.03</v>
      </c>
      <c r="BD71" s="659">
        <f t="shared" si="37"/>
        <v>12.55</v>
      </c>
      <c r="BE71">
        <v>10.8</v>
      </c>
      <c r="BF71">
        <v>9.8800000000000008</v>
      </c>
      <c r="BG71" s="659">
        <f t="shared" si="38"/>
        <v>10.34</v>
      </c>
      <c r="BH71">
        <v>9.6</v>
      </c>
      <c r="BI71">
        <v>8.7799999999999994</v>
      </c>
      <c r="BJ71" s="659">
        <f t="shared" si="39"/>
        <v>9.19</v>
      </c>
      <c r="BK71">
        <v>10.67</v>
      </c>
      <c r="BL71">
        <v>9.76</v>
      </c>
      <c r="BM71" s="659">
        <f t="shared" si="40"/>
        <v>10.215</v>
      </c>
      <c r="BP71" s="659"/>
      <c r="BS71" s="659"/>
      <c r="BV71" s="659"/>
      <c r="BW71">
        <v>11.66</v>
      </c>
      <c r="BX71">
        <v>11.67</v>
      </c>
      <c r="BY71" s="659">
        <f t="shared" si="41"/>
        <v>11.664999999999999</v>
      </c>
      <c r="BZ71">
        <v>9.7100000000000009</v>
      </c>
      <c r="CA71">
        <v>9.73</v>
      </c>
      <c r="CB71" s="659">
        <f t="shared" si="42"/>
        <v>9.7200000000000006</v>
      </c>
      <c r="CC71">
        <v>14.4</v>
      </c>
      <c r="CD71">
        <v>10.16</v>
      </c>
      <c r="CE71" s="659">
        <f t="shared" si="43"/>
        <v>12.280000000000001</v>
      </c>
      <c r="CF71">
        <v>12.88</v>
      </c>
      <c r="CG71">
        <v>9.07</v>
      </c>
      <c r="CH71" s="659">
        <f t="shared" si="44"/>
        <v>10.975000000000001</v>
      </c>
    </row>
    <row r="72" spans="1:86">
      <c r="A72">
        <v>500</v>
      </c>
      <c r="B72">
        <v>500</v>
      </c>
      <c r="C72">
        <v>500</v>
      </c>
      <c r="D72">
        <v>555</v>
      </c>
      <c r="E72">
        <v>675</v>
      </c>
      <c r="F72">
        <v>730</v>
      </c>
      <c r="G72">
        <v>900</v>
      </c>
      <c r="H72">
        <v>900</v>
      </c>
      <c r="J72">
        <v>525</v>
      </c>
      <c r="K72">
        <v>730</v>
      </c>
      <c r="L72">
        <v>730</v>
      </c>
      <c r="M72">
        <v>730</v>
      </c>
      <c r="O72" s="656">
        <v>11.23</v>
      </c>
      <c r="P72" s="458">
        <v>10.37</v>
      </c>
      <c r="Q72" s="221">
        <f t="shared" si="24"/>
        <v>10.8</v>
      </c>
      <c r="R72" s="656">
        <v>11.23</v>
      </c>
      <c r="S72" s="458">
        <v>10.37</v>
      </c>
      <c r="T72" s="458">
        <f t="shared" si="25"/>
        <v>10.8</v>
      </c>
      <c r="U72" s="657">
        <v>9.2899999999999991</v>
      </c>
      <c r="V72" s="458">
        <v>8.58</v>
      </c>
      <c r="W72" s="221">
        <f t="shared" si="26"/>
        <v>8.9349999999999987</v>
      </c>
      <c r="X72" s="458">
        <v>8.48</v>
      </c>
      <c r="Y72" s="458">
        <v>7.83</v>
      </c>
      <c r="Z72" s="659">
        <f t="shared" si="27"/>
        <v>8.1550000000000011</v>
      </c>
      <c r="AA72">
        <v>8.94</v>
      </c>
      <c r="AB72">
        <v>8.16</v>
      </c>
      <c r="AC72" s="659">
        <f t="shared" si="28"/>
        <v>8.5500000000000007</v>
      </c>
      <c r="AD72">
        <v>7.67</v>
      </c>
      <c r="AE72">
        <v>6.99</v>
      </c>
      <c r="AF72" s="659">
        <f t="shared" si="29"/>
        <v>7.33</v>
      </c>
      <c r="AG72">
        <v>8.0299999999999994</v>
      </c>
      <c r="AH72">
        <v>8.08</v>
      </c>
      <c r="AI72" s="659">
        <f t="shared" si="30"/>
        <v>8.0549999999999997</v>
      </c>
      <c r="AJ72">
        <v>7.06</v>
      </c>
      <c r="AK72">
        <v>7.1</v>
      </c>
      <c r="AL72" s="659">
        <f t="shared" si="31"/>
        <v>7.08</v>
      </c>
      <c r="AM72">
        <v>11.42</v>
      </c>
      <c r="AN72">
        <v>10.14</v>
      </c>
      <c r="AO72" s="659">
        <f t="shared" si="32"/>
        <v>10.780000000000001</v>
      </c>
      <c r="AP72">
        <v>10.16</v>
      </c>
      <c r="AQ72">
        <v>9.01</v>
      </c>
      <c r="AR72" s="659">
        <f t="shared" si="33"/>
        <v>9.5850000000000009</v>
      </c>
      <c r="AS72">
        <v>11.81</v>
      </c>
      <c r="AT72">
        <v>10.99</v>
      </c>
      <c r="AU72" s="659">
        <f t="shared" si="34"/>
        <v>11.4</v>
      </c>
      <c r="AV72">
        <v>10.33</v>
      </c>
      <c r="AW72">
        <v>9.6199999999999992</v>
      </c>
      <c r="AX72" s="659">
        <f t="shared" si="35"/>
        <v>9.9749999999999996</v>
      </c>
      <c r="AY72">
        <v>9.18</v>
      </c>
      <c r="AZ72">
        <v>8.5500000000000007</v>
      </c>
      <c r="BA72" s="659">
        <f t="shared" si="36"/>
        <v>8.8650000000000002</v>
      </c>
      <c r="BB72">
        <v>11.81</v>
      </c>
      <c r="BC72">
        <v>10.99</v>
      </c>
      <c r="BD72" s="659">
        <f t="shared" si="37"/>
        <v>11.4</v>
      </c>
      <c r="BE72">
        <v>9.73</v>
      </c>
      <c r="BF72">
        <v>9</v>
      </c>
      <c r="BG72" s="659">
        <f t="shared" si="38"/>
        <v>9.3650000000000002</v>
      </c>
      <c r="BH72">
        <v>8.64</v>
      </c>
      <c r="BI72">
        <v>8</v>
      </c>
      <c r="BJ72" s="659">
        <f t="shared" si="39"/>
        <v>8.32</v>
      </c>
      <c r="BK72">
        <v>9.6</v>
      </c>
      <c r="BL72">
        <v>8.89</v>
      </c>
      <c r="BM72" s="659">
        <f t="shared" si="40"/>
        <v>9.245000000000001</v>
      </c>
      <c r="BP72" s="659"/>
      <c r="BS72" s="659"/>
      <c r="BV72" s="659"/>
      <c r="BW72">
        <v>14.85</v>
      </c>
      <c r="BX72">
        <v>13.03</v>
      </c>
      <c r="BY72" s="659">
        <f t="shared" si="41"/>
        <v>13.94</v>
      </c>
      <c r="BZ72">
        <v>12.37</v>
      </c>
      <c r="CA72">
        <v>10.86</v>
      </c>
      <c r="CB72" s="659">
        <f t="shared" si="42"/>
        <v>11.614999999999998</v>
      </c>
      <c r="CC72">
        <v>13</v>
      </c>
      <c r="CD72">
        <v>8.75</v>
      </c>
      <c r="CE72" s="659">
        <f t="shared" si="43"/>
        <v>10.875</v>
      </c>
      <c r="CF72">
        <v>11.7</v>
      </c>
      <c r="CG72">
        <v>7.9</v>
      </c>
      <c r="CH72" s="659">
        <f t="shared" si="44"/>
        <v>9.8000000000000007</v>
      </c>
    </row>
    <row r="73" spans="1:86">
      <c r="A73">
        <v>510</v>
      </c>
      <c r="B73">
        <v>510</v>
      </c>
      <c r="C73">
        <v>510</v>
      </c>
      <c r="D73">
        <v>570</v>
      </c>
      <c r="E73">
        <v>690</v>
      </c>
      <c r="F73">
        <v>750</v>
      </c>
      <c r="G73">
        <v>925</v>
      </c>
      <c r="H73">
        <v>925</v>
      </c>
      <c r="J73">
        <v>540</v>
      </c>
      <c r="K73">
        <v>750</v>
      </c>
      <c r="L73">
        <v>750</v>
      </c>
      <c r="M73">
        <v>750</v>
      </c>
      <c r="O73" s="656">
        <v>10.24</v>
      </c>
      <c r="P73" s="458">
        <v>9.73</v>
      </c>
      <c r="Q73" s="221">
        <f t="shared" si="24"/>
        <v>9.9849999999999994</v>
      </c>
      <c r="R73" s="656">
        <v>10.24</v>
      </c>
      <c r="S73" s="458">
        <v>9.73</v>
      </c>
      <c r="T73" s="458">
        <f t="shared" si="25"/>
        <v>9.9849999999999994</v>
      </c>
      <c r="U73" s="657">
        <v>8.4499999999999993</v>
      </c>
      <c r="V73" s="458">
        <v>8.0299999999999994</v>
      </c>
      <c r="W73" s="221">
        <f t="shared" si="26"/>
        <v>8.2399999999999984</v>
      </c>
      <c r="X73" s="458">
        <v>7.72</v>
      </c>
      <c r="Y73" s="458">
        <v>7.33</v>
      </c>
      <c r="Z73" s="659">
        <f t="shared" si="27"/>
        <v>7.5250000000000004</v>
      </c>
      <c r="AA73">
        <v>7.85</v>
      </c>
      <c r="AB73">
        <v>7.42</v>
      </c>
      <c r="AC73" s="659">
        <f t="shared" si="28"/>
        <v>7.6349999999999998</v>
      </c>
      <c r="AD73">
        <v>6.73</v>
      </c>
      <c r="AE73">
        <v>6.36</v>
      </c>
      <c r="AF73" s="659">
        <f t="shared" si="29"/>
        <v>6.5449999999999999</v>
      </c>
      <c r="AG73">
        <v>7.2</v>
      </c>
      <c r="AH73">
        <v>7.39</v>
      </c>
      <c r="AI73" s="659">
        <f t="shared" si="30"/>
        <v>7.2949999999999999</v>
      </c>
      <c r="AJ73">
        <v>6.32</v>
      </c>
      <c r="AK73">
        <v>6.49</v>
      </c>
      <c r="AL73" s="659">
        <f t="shared" si="31"/>
        <v>6.4050000000000002</v>
      </c>
      <c r="AM73">
        <v>10.48</v>
      </c>
      <c r="AN73">
        <v>9.3699999999999992</v>
      </c>
      <c r="AO73" s="659">
        <f t="shared" si="32"/>
        <v>9.9250000000000007</v>
      </c>
      <c r="AP73">
        <v>9.32</v>
      </c>
      <c r="AQ73">
        <v>8.33</v>
      </c>
      <c r="AR73" s="659">
        <f t="shared" si="33"/>
        <v>8.8249999999999993</v>
      </c>
      <c r="AS73">
        <v>10.66</v>
      </c>
      <c r="AT73">
        <v>10.06</v>
      </c>
      <c r="AU73" s="659">
        <f t="shared" si="34"/>
        <v>10.36</v>
      </c>
      <c r="AV73">
        <v>9.33</v>
      </c>
      <c r="AW73">
        <v>8.8000000000000007</v>
      </c>
      <c r="AX73" s="659">
        <f t="shared" si="35"/>
        <v>9.0650000000000013</v>
      </c>
      <c r="AY73">
        <v>8.2899999999999991</v>
      </c>
      <c r="AZ73">
        <v>7.82</v>
      </c>
      <c r="BA73" s="659">
        <f t="shared" si="36"/>
        <v>8.0549999999999997</v>
      </c>
      <c r="BB73">
        <v>10.66</v>
      </c>
      <c r="BC73">
        <v>10.06</v>
      </c>
      <c r="BD73" s="659">
        <f t="shared" si="37"/>
        <v>10.36</v>
      </c>
      <c r="BE73">
        <v>8.76</v>
      </c>
      <c r="BF73">
        <v>8.2100000000000009</v>
      </c>
      <c r="BG73" s="659">
        <f t="shared" si="38"/>
        <v>8.4849999999999994</v>
      </c>
      <c r="BH73">
        <v>7.78</v>
      </c>
      <c r="BI73">
        <v>7.3</v>
      </c>
      <c r="BJ73" s="659">
        <f t="shared" si="39"/>
        <v>7.54</v>
      </c>
      <c r="BK73">
        <v>8.64</v>
      </c>
      <c r="BL73">
        <v>8.11</v>
      </c>
      <c r="BM73" s="659">
        <f t="shared" si="40"/>
        <v>8.375</v>
      </c>
      <c r="BP73" s="659"/>
      <c r="BS73" s="659"/>
      <c r="BV73" s="659"/>
      <c r="BW73">
        <v>13.19</v>
      </c>
      <c r="BX73">
        <v>11.89</v>
      </c>
      <c r="BY73" s="659">
        <f t="shared" si="41"/>
        <v>12.54</v>
      </c>
      <c r="BZ73">
        <v>10.99</v>
      </c>
      <c r="CA73">
        <v>9.91</v>
      </c>
      <c r="CB73" s="659">
        <f t="shared" si="42"/>
        <v>10.45</v>
      </c>
      <c r="CC73">
        <v>12.67</v>
      </c>
      <c r="CD73">
        <v>8.49</v>
      </c>
      <c r="CE73" s="659">
        <f t="shared" si="43"/>
        <v>10.58</v>
      </c>
      <c r="CF73">
        <v>11.32</v>
      </c>
      <c r="CG73">
        <v>7.56</v>
      </c>
      <c r="CH73" s="659">
        <f t="shared" si="44"/>
        <v>9.44</v>
      </c>
    </row>
    <row r="74" spans="1:86">
      <c r="A74">
        <v>525</v>
      </c>
      <c r="B74">
        <v>525</v>
      </c>
      <c r="C74">
        <v>525</v>
      </c>
      <c r="D74">
        <v>585</v>
      </c>
      <c r="E74">
        <v>710</v>
      </c>
      <c r="F74">
        <v>770</v>
      </c>
      <c r="G74">
        <v>950</v>
      </c>
      <c r="H74">
        <v>950</v>
      </c>
      <c r="J74">
        <v>555</v>
      </c>
      <c r="O74" s="656">
        <v>14.75</v>
      </c>
      <c r="P74" s="458">
        <v>12.6</v>
      </c>
      <c r="Q74" s="221">
        <f t="shared" si="24"/>
        <v>13.675000000000001</v>
      </c>
      <c r="R74" s="656">
        <v>14.75</v>
      </c>
      <c r="S74" s="458">
        <v>12.6</v>
      </c>
      <c r="T74" s="458">
        <f t="shared" si="25"/>
        <v>13.675000000000001</v>
      </c>
      <c r="U74" s="657">
        <v>12.43</v>
      </c>
      <c r="V74" s="458">
        <v>10.61</v>
      </c>
      <c r="W74" s="221">
        <f t="shared" si="26"/>
        <v>11.52</v>
      </c>
      <c r="X74" s="458">
        <v>11.35</v>
      </c>
      <c r="Y74" s="458">
        <v>9.69</v>
      </c>
      <c r="Z74" s="659">
        <f t="shared" si="27"/>
        <v>10.52</v>
      </c>
      <c r="AA74">
        <v>12.48</v>
      </c>
      <c r="AB74">
        <v>10.98</v>
      </c>
      <c r="AC74" s="659">
        <f t="shared" si="28"/>
        <v>11.73</v>
      </c>
      <c r="AD74">
        <v>10.7</v>
      </c>
      <c r="AE74">
        <v>9.41</v>
      </c>
      <c r="AF74" s="659">
        <f t="shared" si="29"/>
        <v>10.055</v>
      </c>
      <c r="AG74">
        <v>11.31</v>
      </c>
      <c r="AH74">
        <v>10.32</v>
      </c>
      <c r="AI74" s="659">
        <f t="shared" si="30"/>
        <v>10.815000000000001</v>
      </c>
      <c r="AJ74">
        <v>9.94</v>
      </c>
      <c r="AK74">
        <v>9.07</v>
      </c>
      <c r="AL74" s="659">
        <f t="shared" si="31"/>
        <v>9.504999999999999</v>
      </c>
      <c r="AM74">
        <v>9.6300000000000008</v>
      </c>
      <c r="AN74">
        <v>8.69</v>
      </c>
      <c r="AO74" s="659">
        <f t="shared" si="32"/>
        <v>9.16</v>
      </c>
      <c r="AP74">
        <v>8.56</v>
      </c>
      <c r="AQ74">
        <v>7.72</v>
      </c>
      <c r="AR74" s="659">
        <f t="shared" si="33"/>
        <v>8.14</v>
      </c>
      <c r="AS74">
        <v>9.6199999999999992</v>
      </c>
      <c r="AT74">
        <v>9.1999999999999993</v>
      </c>
      <c r="AU74" s="659">
        <f t="shared" si="34"/>
        <v>9.41</v>
      </c>
      <c r="AV74">
        <v>8.42</v>
      </c>
      <c r="AW74">
        <v>8.0500000000000007</v>
      </c>
      <c r="AX74" s="659">
        <f t="shared" si="35"/>
        <v>8.2349999999999994</v>
      </c>
      <c r="AY74">
        <v>7.48</v>
      </c>
      <c r="AZ74">
        <v>7.16</v>
      </c>
      <c r="BA74" s="659">
        <f t="shared" si="36"/>
        <v>7.32</v>
      </c>
      <c r="BB74">
        <v>9.6199999999999992</v>
      </c>
      <c r="BC74">
        <v>9.1999999999999993</v>
      </c>
      <c r="BD74" s="659">
        <f t="shared" si="37"/>
        <v>9.41</v>
      </c>
      <c r="BE74">
        <v>7.88</v>
      </c>
      <c r="BF74">
        <v>7.5</v>
      </c>
      <c r="BG74" s="659">
        <f t="shared" si="38"/>
        <v>7.6899999999999995</v>
      </c>
      <c r="BH74">
        <v>7</v>
      </c>
      <c r="BI74">
        <v>6.66</v>
      </c>
      <c r="BJ74" s="659">
        <f t="shared" si="39"/>
        <v>6.83</v>
      </c>
      <c r="BK74">
        <v>7.78</v>
      </c>
      <c r="BL74">
        <v>7.4</v>
      </c>
      <c r="BM74" s="659">
        <f t="shared" si="40"/>
        <v>7.59</v>
      </c>
      <c r="BP74" s="659"/>
      <c r="BS74" s="659"/>
      <c r="BV74" s="659"/>
      <c r="BW74">
        <v>11.69</v>
      </c>
      <c r="BX74">
        <v>10.83</v>
      </c>
      <c r="BY74" s="659">
        <f t="shared" si="41"/>
        <v>11.26</v>
      </c>
      <c r="BZ74">
        <v>9.73</v>
      </c>
      <c r="CA74">
        <v>9.0299999999999994</v>
      </c>
      <c r="CB74" s="659">
        <f t="shared" si="42"/>
        <v>9.379999999999999</v>
      </c>
      <c r="CE74" s="659"/>
      <c r="CH74" s="659"/>
    </row>
    <row r="75" spans="1:86">
      <c r="A75">
        <v>540</v>
      </c>
      <c r="B75">
        <v>540</v>
      </c>
      <c r="C75">
        <v>540</v>
      </c>
      <c r="D75">
        <v>600</v>
      </c>
      <c r="E75">
        <v>730</v>
      </c>
      <c r="F75">
        <v>790</v>
      </c>
      <c r="G75">
        <v>975</v>
      </c>
      <c r="H75">
        <v>975</v>
      </c>
      <c r="J75">
        <v>570</v>
      </c>
      <c r="O75" s="656">
        <v>13.04</v>
      </c>
      <c r="P75" s="458">
        <v>11.5</v>
      </c>
      <c r="Q75" s="221">
        <f t="shared" si="24"/>
        <v>12.27</v>
      </c>
      <c r="R75" s="656">
        <v>13.04</v>
      </c>
      <c r="S75" s="458">
        <v>11.5</v>
      </c>
      <c r="T75" s="458">
        <f t="shared" si="25"/>
        <v>12.27</v>
      </c>
      <c r="U75" s="657">
        <v>10.98</v>
      </c>
      <c r="V75" s="458">
        <v>9.67</v>
      </c>
      <c r="W75" s="221">
        <f t="shared" si="26"/>
        <v>10.324999999999999</v>
      </c>
      <c r="X75" s="458">
        <v>10.02</v>
      </c>
      <c r="Y75" s="458">
        <v>8.83</v>
      </c>
      <c r="Z75" s="659">
        <f t="shared" si="27"/>
        <v>9.4250000000000007</v>
      </c>
      <c r="AA75">
        <v>11.13</v>
      </c>
      <c r="AB75">
        <v>10.02</v>
      </c>
      <c r="AC75" s="659">
        <f t="shared" si="28"/>
        <v>10.574999999999999</v>
      </c>
      <c r="AD75">
        <v>9.5399999999999991</v>
      </c>
      <c r="AE75">
        <v>8.59</v>
      </c>
      <c r="AF75" s="659">
        <f t="shared" si="29"/>
        <v>9.0649999999999995</v>
      </c>
      <c r="AG75">
        <v>9.99</v>
      </c>
      <c r="AH75">
        <v>9.2799999999999994</v>
      </c>
      <c r="AI75" s="659">
        <f t="shared" si="30"/>
        <v>9.6349999999999998</v>
      </c>
      <c r="AJ75">
        <v>8.7799999999999994</v>
      </c>
      <c r="AK75">
        <v>8.16</v>
      </c>
      <c r="AL75" s="659">
        <f t="shared" si="31"/>
        <v>8.4699999999999989</v>
      </c>
      <c r="AM75">
        <v>10.1</v>
      </c>
      <c r="AN75">
        <v>8.1999999999999993</v>
      </c>
      <c r="AO75" s="659">
        <f t="shared" si="32"/>
        <v>9.1499999999999986</v>
      </c>
      <c r="AP75">
        <v>8.98</v>
      </c>
      <c r="AQ75">
        <v>7.29</v>
      </c>
      <c r="AR75" s="659">
        <f t="shared" si="33"/>
        <v>8.1349999999999998</v>
      </c>
      <c r="AS75">
        <v>15.27</v>
      </c>
      <c r="AT75">
        <v>17.11</v>
      </c>
      <c r="AU75" s="659">
        <f t="shared" si="34"/>
        <v>16.189999999999998</v>
      </c>
      <c r="AV75">
        <v>13.36</v>
      </c>
      <c r="AW75">
        <v>14.97</v>
      </c>
      <c r="AX75" s="659">
        <f t="shared" si="35"/>
        <v>14.164999999999999</v>
      </c>
      <c r="AY75">
        <v>11.88</v>
      </c>
      <c r="AZ75">
        <v>13.31</v>
      </c>
      <c r="BA75" s="659">
        <f t="shared" si="36"/>
        <v>12.595000000000001</v>
      </c>
      <c r="BB75">
        <v>15.27</v>
      </c>
      <c r="BC75">
        <v>17.11</v>
      </c>
      <c r="BD75" s="659">
        <f t="shared" si="37"/>
        <v>16.189999999999998</v>
      </c>
      <c r="BE75">
        <v>12.62</v>
      </c>
      <c r="BF75">
        <v>14.21</v>
      </c>
      <c r="BG75" s="659">
        <f t="shared" si="38"/>
        <v>13.414999999999999</v>
      </c>
      <c r="BH75">
        <v>11.22</v>
      </c>
      <c r="BI75">
        <v>12.63</v>
      </c>
      <c r="BJ75" s="659">
        <f t="shared" si="39"/>
        <v>11.925000000000001</v>
      </c>
      <c r="BK75">
        <v>12.47</v>
      </c>
      <c r="BL75">
        <v>14.03</v>
      </c>
      <c r="BM75" s="659">
        <f t="shared" si="40"/>
        <v>13.25</v>
      </c>
      <c r="BP75" s="659"/>
      <c r="BS75" s="659"/>
      <c r="BV75" s="659"/>
      <c r="BW75">
        <v>10.33</v>
      </c>
      <c r="BX75">
        <v>9.89</v>
      </c>
      <c r="BY75" s="659">
        <f t="shared" si="41"/>
        <v>10.11</v>
      </c>
      <c r="BZ75">
        <v>8.6</v>
      </c>
      <c r="CA75">
        <v>8.25</v>
      </c>
      <c r="CB75" s="659">
        <f t="shared" si="42"/>
        <v>8.4250000000000007</v>
      </c>
      <c r="CE75" s="659"/>
      <c r="CH75" s="659"/>
    </row>
    <row r="76" spans="1:86">
      <c r="A76">
        <v>555</v>
      </c>
      <c r="B76">
        <v>555</v>
      </c>
      <c r="C76">
        <v>555</v>
      </c>
      <c r="D76">
        <v>615</v>
      </c>
      <c r="E76">
        <v>750</v>
      </c>
      <c r="F76">
        <v>810</v>
      </c>
      <c r="G76">
        <v>1000</v>
      </c>
      <c r="H76">
        <v>1000</v>
      </c>
      <c r="J76">
        <v>585</v>
      </c>
      <c r="O76" s="656">
        <v>11.5</v>
      </c>
      <c r="P76" s="458">
        <v>10.5</v>
      </c>
      <c r="Q76" s="221">
        <f t="shared" si="24"/>
        <v>11</v>
      </c>
      <c r="R76" s="656">
        <v>11.5</v>
      </c>
      <c r="S76" s="458">
        <v>10.5</v>
      </c>
      <c r="T76" s="458">
        <f t="shared" si="25"/>
        <v>11</v>
      </c>
      <c r="U76" s="657">
        <v>9.67</v>
      </c>
      <c r="V76" s="458">
        <v>8.83</v>
      </c>
      <c r="W76" s="221">
        <f t="shared" si="26"/>
        <v>9.25</v>
      </c>
      <c r="X76" s="458">
        <v>8.83</v>
      </c>
      <c r="Y76" s="458">
        <v>8.06</v>
      </c>
      <c r="Z76" s="659">
        <f t="shared" si="27"/>
        <v>8.4450000000000003</v>
      </c>
      <c r="AA76">
        <v>9.9</v>
      </c>
      <c r="AB76">
        <v>9.14</v>
      </c>
      <c r="AC76" s="659">
        <f t="shared" si="28"/>
        <v>9.52</v>
      </c>
      <c r="AD76">
        <v>8.48</v>
      </c>
      <c r="AE76">
        <v>7.83</v>
      </c>
      <c r="AF76" s="659">
        <f t="shared" si="29"/>
        <v>8.1550000000000011</v>
      </c>
      <c r="AG76">
        <v>8.7899999999999991</v>
      </c>
      <c r="AH76">
        <v>8.33</v>
      </c>
      <c r="AI76" s="659">
        <f t="shared" si="30"/>
        <v>8.5599999999999987</v>
      </c>
      <c r="AJ76">
        <v>7.72</v>
      </c>
      <c r="AK76">
        <v>7.32</v>
      </c>
      <c r="AL76" s="659">
        <f t="shared" si="31"/>
        <v>7.52</v>
      </c>
      <c r="AM76">
        <v>9.27</v>
      </c>
      <c r="AN76">
        <v>7.58</v>
      </c>
      <c r="AO76" s="659">
        <f t="shared" si="32"/>
        <v>8.4250000000000007</v>
      </c>
      <c r="AP76">
        <v>8.24</v>
      </c>
      <c r="AQ76">
        <v>6.74</v>
      </c>
      <c r="AR76" s="659">
        <f t="shared" si="33"/>
        <v>7.49</v>
      </c>
      <c r="AS76">
        <v>13.82</v>
      </c>
      <c r="AT76">
        <v>14.39</v>
      </c>
      <c r="AU76" s="659">
        <f t="shared" si="34"/>
        <v>14.105</v>
      </c>
      <c r="AV76">
        <v>12.09</v>
      </c>
      <c r="AW76">
        <v>12.59</v>
      </c>
      <c r="AX76" s="659">
        <f t="shared" si="35"/>
        <v>12.34</v>
      </c>
      <c r="AY76">
        <v>10.74</v>
      </c>
      <c r="AZ76">
        <v>11.19</v>
      </c>
      <c r="BA76" s="659">
        <f t="shared" si="36"/>
        <v>10.965</v>
      </c>
      <c r="BB76">
        <v>13.82</v>
      </c>
      <c r="BC76">
        <v>14.39</v>
      </c>
      <c r="BD76" s="659">
        <f t="shared" si="37"/>
        <v>14.105</v>
      </c>
      <c r="BE76">
        <v>11.38</v>
      </c>
      <c r="BF76">
        <v>11.87</v>
      </c>
      <c r="BG76" s="659">
        <f t="shared" si="38"/>
        <v>11.625</v>
      </c>
      <c r="BH76">
        <v>10.11</v>
      </c>
      <c r="BI76">
        <v>10.55</v>
      </c>
      <c r="BJ76" s="659">
        <f t="shared" si="39"/>
        <v>10.33</v>
      </c>
      <c r="BK76">
        <v>11.23</v>
      </c>
      <c r="BL76">
        <v>11.72</v>
      </c>
      <c r="BM76" s="659">
        <f t="shared" si="40"/>
        <v>11.475000000000001</v>
      </c>
      <c r="BP76" s="659"/>
      <c r="BS76" s="659"/>
      <c r="BV76" s="659"/>
      <c r="BW76">
        <v>16.11</v>
      </c>
      <c r="BX76">
        <v>14.39</v>
      </c>
      <c r="BY76" s="659">
        <f t="shared" si="41"/>
        <v>15.25</v>
      </c>
      <c r="BZ76">
        <v>13.44</v>
      </c>
      <c r="CA76">
        <v>11.99</v>
      </c>
      <c r="CB76" s="659">
        <f t="shared" si="42"/>
        <v>12.715</v>
      </c>
      <c r="CE76" s="659"/>
      <c r="CH76" s="659"/>
    </row>
    <row r="77" spans="1:86">
      <c r="A77">
        <v>570</v>
      </c>
      <c r="B77">
        <v>570</v>
      </c>
      <c r="C77">
        <v>570</v>
      </c>
      <c r="D77">
        <v>630</v>
      </c>
      <c r="E77">
        <v>770</v>
      </c>
      <c r="F77">
        <v>830</v>
      </c>
      <c r="G77">
        <v>1025</v>
      </c>
      <c r="H77">
        <v>1025</v>
      </c>
      <c r="J77">
        <v>600</v>
      </c>
      <c r="O77" s="656">
        <v>10.1</v>
      </c>
      <c r="P77" s="458">
        <v>9.6</v>
      </c>
      <c r="Q77" s="221">
        <f t="shared" si="24"/>
        <v>9.85</v>
      </c>
      <c r="R77" s="656">
        <v>10.1</v>
      </c>
      <c r="S77" s="458">
        <v>9.6</v>
      </c>
      <c r="T77" s="458">
        <f t="shared" si="25"/>
        <v>9.85</v>
      </c>
      <c r="U77" s="657">
        <v>8.48</v>
      </c>
      <c r="V77" s="458">
        <v>8.06</v>
      </c>
      <c r="W77" s="221">
        <f t="shared" si="26"/>
        <v>8.27</v>
      </c>
      <c r="X77" s="458">
        <v>7.74</v>
      </c>
      <c r="Y77" s="458">
        <v>7.36</v>
      </c>
      <c r="Z77" s="659">
        <f t="shared" si="27"/>
        <v>7.5500000000000007</v>
      </c>
      <c r="AA77">
        <v>8.7799999999999994</v>
      </c>
      <c r="AB77">
        <v>8.35</v>
      </c>
      <c r="AC77" s="659">
        <f t="shared" si="28"/>
        <v>8.5649999999999995</v>
      </c>
      <c r="AD77">
        <v>7.53</v>
      </c>
      <c r="AE77">
        <v>7.16</v>
      </c>
      <c r="AF77" s="659">
        <f t="shared" si="29"/>
        <v>7.3450000000000006</v>
      </c>
      <c r="AG77">
        <v>7.7</v>
      </c>
      <c r="AH77">
        <v>7.47</v>
      </c>
      <c r="AI77" s="659">
        <f t="shared" si="30"/>
        <v>7.585</v>
      </c>
      <c r="AJ77">
        <v>6.77</v>
      </c>
      <c r="AK77">
        <v>6.57</v>
      </c>
      <c r="AL77" s="659">
        <f t="shared" si="31"/>
        <v>6.67</v>
      </c>
      <c r="AM77">
        <v>8.49</v>
      </c>
      <c r="AN77">
        <v>7</v>
      </c>
      <c r="AO77" s="659">
        <f t="shared" si="32"/>
        <v>7.7450000000000001</v>
      </c>
      <c r="AP77">
        <v>7.55</v>
      </c>
      <c r="AQ77">
        <v>6.22</v>
      </c>
      <c r="AR77" s="659">
        <f t="shared" si="33"/>
        <v>6.8849999999999998</v>
      </c>
      <c r="AS77">
        <v>12.47</v>
      </c>
      <c r="AT77">
        <v>11.89</v>
      </c>
      <c r="AU77" s="659">
        <f t="shared" si="34"/>
        <v>12.18</v>
      </c>
      <c r="AV77">
        <v>10.91</v>
      </c>
      <c r="AW77">
        <v>10.4</v>
      </c>
      <c r="AX77" s="659">
        <f t="shared" si="35"/>
        <v>10.655000000000001</v>
      </c>
      <c r="AY77">
        <v>9.6999999999999993</v>
      </c>
      <c r="AZ77">
        <v>9.25</v>
      </c>
      <c r="BA77" s="659">
        <f t="shared" si="36"/>
        <v>9.4749999999999996</v>
      </c>
      <c r="BB77">
        <v>12.47</v>
      </c>
      <c r="BC77">
        <v>11.89</v>
      </c>
      <c r="BD77" s="659">
        <f t="shared" si="37"/>
        <v>12.18</v>
      </c>
      <c r="BE77">
        <v>10.24</v>
      </c>
      <c r="BF77">
        <v>9.7200000000000006</v>
      </c>
      <c r="BG77" s="659">
        <f t="shared" si="38"/>
        <v>9.98</v>
      </c>
      <c r="BH77">
        <v>9.1</v>
      </c>
      <c r="BI77">
        <v>8.64</v>
      </c>
      <c r="BJ77" s="659">
        <f t="shared" si="39"/>
        <v>8.870000000000001</v>
      </c>
      <c r="BK77">
        <v>10.11</v>
      </c>
      <c r="BL77">
        <v>9.6</v>
      </c>
      <c r="BM77" s="659">
        <f t="shared" si="40"/>
        <v>9.8550000000000004</v>
      </c>
      <c r="BP77" s="659"/>
      <c r="BS77" s="659"/>
      <c r="BV77" s="659"/>
      <c r="BW77">
        <v>14.44</v>
      </c>
      <c r="BX77">
        <v>13.17</v>
      </c>
      <c r="BY77" s="659">
        <f t="shared" si="41"/>
        <v>13.805</v>
      </c>
      <c r="BZ77">
        <v>12.04</v>
      </c>
      <c r="CA77">
        <v>10.97</v>
      </c>
      <c r="CB77" s="659">
        <f t="shared" si="42"/>
        <v>11.504999999999999</v>
      </c>
      <c r="CE77" s="659"/>
      <c r="CH77" s="659"/>
    </row>
    <row r="78" spans="1:86">
      <c r="C78">
        <v>585</v>
      </c>
      <c r="D78">
        <v>645</v>
      </c>
      <c r="E78">
        <v>790</v>
      </c>
      <c r="F78">
        <v>850</v>
      </c>
      <c r="G78">
        <v>1050</v>
      </c>
      <c r="H78">
        <v>1050</v>
      </c>
      <c r="J78">
        <v>615</v>
      </c>
      <c r="U78" s="657">
        <v>13.84</v>
      </c>
      <c r="V78" s="458">
        <v>12.21</v>
      </c>
      <c r="W78" s="221">
        <f t="shared" si="26"/>
        <v>13.025</v>
      </c>
      <c r="X78" s="458">
        <v>12.64</v>
      </c>
      <c r="Y78" s="458">
        <v>11.14</v>
      </c>
      <c r="Z78" s="659">
        <f t="shared" si="27"/>
        <v>11.89</v>
      </c>
      <c r="AA78">
        <v>11.91</v>
      </c>
      <c r="AB78">
        <v>11.98</v>
      </c>
      <c r="AC78" s="659">
        <f t="shared" si="28"/>
        <v>11.945</v>
      </c>
      <c r="AD78">
        <v>10.210000000000001</v>
      </c>
      <c r="AE78">
        <v>10.27</v>
      </c>
      <c r="AF78" s="659">
        <f t="shared" si="29"/>
        <v>10.24</v>
      </c>
      <c r="AG78">
        <v>11.3</v>
      </c>
      <c r="AH78">
        <v>9.4700000000000006</v>
      </c>
      <c r="AI78" s="659">
        <f t="shared" si="30"/>
        <v>10.385000000000002</v>
      </c>
      <c r="AJ78">
        <v>9.93</v>
      </c>
      <c r="AK78">
        <v>8.32</v>
      </c>
      <c r="AL78" s="659">
        <f t="shared" si="31"/>
        <v>9.125</v>
      </c>
      <c r="AM78">
        <v>7.78</v>
      </c>
      <c r="AN78">
        <v>6.47</v>
      </c>
      <c r="AO78" s="659">
        <f t="shared" si="32"/>
        <v>7.125</v>
      </c>
      <c r="AP78">
        <v>6.92</v>
      </c>
      <c r="AQ78">
        <v>5.75</v>
      </c>
      <c r="AR78" s="659">
        <f t="shared" si="33"/>
        <v>6.335</v>
      </c>
      <c r="AS78">
        <v>11.25</v>
      </c>
      <c r="AT78">
        <v>9.58</v>
      </c>
      <c r="AU78" s="659">
        <f t="shared" si="34"/>
        <v>10.414999999999999</v>
      </c>
      <c r="AV78">
        <v>9.84</v>
      </c>
      <c r="AW78">
        <v>8.3800000000000008</v>
      </c>
      <c r="AX78" s="659">
        <f t="shared" si="35"/>
        <v>9.11</v>
      </c>
      <c r="AY78">
        <v>8.75</v>
      </c>
      <c r="AZ78">
        <v>7.45</v>
      </c>
      <c r="BA78" s="659">
        <f t="shared" si="36"/>
        <v>8.1</v>
      </c>
      <c r="BB78">
        <v>11.25</v>
      </c>
      <c r="BC78">
        <v>9.58</v>
      </c>
      <c r="BD78" s="659">
        <f t="shared" si="37"/>
        <v>10.414999999999999</v>
      </c>
      <c r="BE78">
        <v>9.1999999999999993</v>
      </c>
      <c r="BF78">
        <v>7.73</v>
      </c>
      <c r="BG78" s="659">
        <f t="shared" si="38"/>
        <v>8.4649999999999999</v>
      </c>
      <c r="BH78">
        <v>8.18</v>
      </c>
      <c r="BI78">
        <v>6.87</v>
      </c>
      <c r="BJ78" s="659">
        <f t="shared" si="39"/>
        <v>7.5250000000000004</v>
      </c>
      <c r="BK78">
        <v>9.09</v>
      </c>
      <c r="BL78">
        <v>7.63</v>
      </c>
      <c r="BM78" s="659">
        <f t="shared" si="40"/>
        <v>8.36</v>
      </c>
      <c r="BP78" s="659"/>
      <c r="BS78" s="659"/>
      <c r="BV78" s="659"/>
      <c r="BW78">
        <v>12.9</v>
      </c>
      <c r="BX78">
        <v>12.05</v>
      </c>
      <c r="BY78" s="659">
        <f t="shared" si="41"/>
        <v>12.475000000000001</v>
      </c>
      <c r="BZ78">
        <v>10.75</v>
      </c>
      <c r="CA78">
        <v>10.039999999999999</v>
      </c>
      <c r="CB78" s="659">
        <f t="shared" si="42"/>
        <v>10.395</v>
      </c>
      <c r="CE78" s="659"/>
      <c r="CH78" s="659"/>
    </row>
    <row r="79" spans="1:86">
      <c r="C79">
        <v>600</v>
      </c>
      <c r="D79">
        <v>660</v>
      </c>
      <c r="E79">
        <v>810</v>
      </c>
      <c r="F79">
        <v>875</v>
      </c>
      <c r="G79">
        <v>1175</v>
      </c>
      <c r="H79">
        <v>1175</v>
      </c>
      <c r="J79">
        <v>630</v>
      </c>
      <c r="U79" s="657">
        <v>12.32</v>
      </c>
      <c r="V79" s="458">
        <v>11.18</v>
      </c>
      <c r="W79" s="221">
        <f t="shared" si="26"/>
        <v>11.75</v>
      </c>
      <c r="X79" s="458">
        <v>11.25</v>
      </c>
      <c r="Y79" s="458">
        <v>10.210000000000001</v>
      </c>
      <c r="Z79" s="659">
        <f t="shared" si="27"/>
        <v>10.73</v>
      </c>
      <c r="AA79">
        <v>10.73</v>
      </c>
      <c r="AB79">
        <v>10.99</v>
      </c>
      <c r="AC79" s="659">
        <f t="shared" si="28"/>
        <v>10.86</v>
      </c>
      <c r="AD79">
        <v>9.19</v>
      </c>
      <c r="AE79">
        <v>9.42</v>
      </c>
      <c r="AF79" s="659">
        <f t="shared" si="29"/>
        <v>9.3049999999999997</v>
      </c>
      <c r="AG79">
        <v>10.38</v>
      </c>
      <c r="AH79">
        <v>8.7799999999999994</v>
      </c>
      <c r="AI79" s="659">
        <f t="shared" si="30"/>
        <v>9.58</v>
      </c>
      <c r="AJ79">
        <v>9.1199999999999992</v>
      </c>
      <c r="AK79">
        <v>7.72</v>
      </c>
      <c r="AL79" s="659">
        <f t="shared" si="31"/>
        <v>8.42</v>
      </c>
      <c r="AM79">
        <v>11.21</v>
      </c>
      <c r="AN79">
        <v>9.3000000000000007</v>
      </c>
      <c r="AO79" s="659">
        <f t="shared" si="32"/>
        <v>10.255000000000001</v>
      </c>
      <c r="AP79">
        <v>9.9700000000000006</v>
      </c>
      <c r="AQ79">
        <v>8.26</v>
      </c>
      <c r="AR79" s="659">
        <f t="shared" si="33"/>
        <v>9.1150000000000002</v>
      </c>
      <c r="AS79">
        <v>12.21</v>
      </c>
      <c r="AT79">
        <v>13.47</v>
      </c>
      <c r="AU79" s="659">
        <f t="shared" si="34"/>
        <v>12.84</v>
      </c>
      <c r="AV79">
        <v>10.68</v>
      </c>
      <c r="AW79">
        <v>11.79</v>
      </c>
      <c r="AX79" s="659">
        <f t="shared" si="35"/>
        <v>11.234999999999999</v>
      </c>
      <c r="AY79">
        <v>9.49</v>
      </c>
      <c r="AZ79">
        <v>10.48</v>
      </c>
      <c r="BA79" s="659">
        <f t="shared" si="36"/>
        <v>9.9849999999999994</v>
      </c>
      <c r="BB79">
        <v>12.21</v>
      </c>
      <c r="BC79">
        <v>13.47</v>
      </c>
      <c r="BD79" s="659">
        <f t="shared" si="37"/>
        <v>12.84</v>
      </c>
      <c r="BE79">
        <v>9.64</v>
      </c>
      <c r="BF79">
        <v>10.74</v>
      </c>
      <c r="BG79" s="659">
        <f t="shared" si="38"/>
        <v>10.190000000000001</v>
      </c>
      <c r="BH79">
        <v>8.57</v>
      </c>
      <c r="BI79">
        <v>9.5500000000000007</v>
      </c>
      <c r="BJ79" s="659">
        <f t="shared" si="39"/>
        <v>9.06</v>
      </c>
      <c r="BK79">
        <v>9.52</v>
      </c>
      <c r="BL79">
        <v>10.61</v>
      </c>
      <c r="BM79" s="659">
        <f t="shared" si="40"/>
        <v>10.065</v>
      </c>
      <c r="BP79" s="659"/>
      <c r="BS79" s="659"/>
      <c r="BV79" s="659"/>
      <c r="BW79">
        <v>11.53</v>
      </c>
      <c r="BX79">
        <v>11.05</v>
      </c>
      <c r="BY79" s="659">
        <f t="shared" si="41"/>
        <v>11.29</v>
      </c>
      <c r="BZ79">
        <v>9.6</v>
      </c>
      <c r="CA79">
        <v>9.2200000000000006</v>
      </c>
      <c r="CB79" s="659">
        <f t="shared" si="42"/>
        <v>9.41</v>
      </c>
      <c r="CE79" s="659"/>
      <c r="CH79" s="659"/>
    </row>
    <row r="80" spans="1:86">
      <c r="C80">
        <v>615</v>
      </c>
      <c r="D80">
        <v>675</v>
      </c>
      <c r="E80">
        <v>830</v>
      </c>
      <c r="F80">
        <v>900</v>
      </c>
      <c r="G80">
        <v>1200</v>
      </c>
      <c r="H80">
        <v>1200</v>
      </c>
      <c r="J80">
        <v>645</v>
      </c>
      <c r="U80" s="657">
        <v>10.93</v>
      </c>
      <c r="V80" s="458">
        <v>10.24</v>
      </c>
      <c r="W80" s="221">
        <f t="shared" si="26"/>
        <v>10.585000000000001</v>
      </c>
      <c r="X80" s="458">
        <v>9.98</v>
      </c>
      <c r="Y80" s="458">
        <v>9.35</v>
      </c>
      <c r="Z80" s="659">
        <f t="shared" si="27"/>
        <v>9.6649999999999991</v>
      </c>
      <c r="AA80">
        <v>9.65</v>
      </c>
      <c r="AB80">
        <v>10.09</v>
      </c>
      <c r="AC80" s="659">
        <f t="shared" si="28"/>
        <v>9.870000000000001</v>
      </c>
      <c r="AD80">
        <v>8.2799999999999994</v>
      </c>
      <c r="AE80">
        <v>8.65</v>
      </c>
      <c r="AF80" s="659">
        <f t="shared" si="29"/>
        <v>8.4649999999999999</v>
      </c>
      <c r="AG80">
        <v>9.5299999999999994</v>
      </c>
      <c r="AH80">
        <v>8.14</v>
      </c>
      <c r="AI80" s="659">
        <f t="shared" si="30"/>
        <v>8.8350000000000009</v>
      </c>
      <c r="AJ80">
        <v>8.3699999999999992</v>
      </c>
      <c r="AK80">
        <v>7.15</v>
      </c>
      <c r="AL80" s="659">
        <f t="shared" si="31"/>
        <v>7.76</v>
      </c>
      <c r="AM80">
        <v>10.119999999999999</v>
      </c>
      <c r="AN80">
        <v>8.4600000000000009</v>
      </c>
      <c r="AO80" s="659">
        <f t="shared" si="32"/>
        <v>9.2899999999999991</v>
      </c>
      <c r="AP80">
        <v>9</v>
      </c>
      <c r="AQ80">
        <v>7.52</v>
      </c>
      <c r="AR80" s="659">
        <f t="shared" si="33"/>
        <v>8.26</v>
      </c>
      <c r="AS80">
        <v>11.23</v>
      </c>
      <c r="AT80">
        <v>12.59</v>
      </c>
      <c r="AU80" s="659">
        <f t="shared" si="34"/>
        <v>11.91</v>
      </c>
      <c r="AV80">
        <v>9.83</v>
      </c>
      <c r="AW80">
        <v>11.02</v>
      </c>
      <c r="AX80" s="659">
        <f t="shared" si="35"/>
        <v>10.425000000000001</v>
      </c>
      <c r="AY80">
        <v>8.74</v>
      </c>
      <c r="AZ80">
        <v>9.8000000000000007</v>
      </c>
      <c r="BA80" s="659">
        <f t="shared" si="36"/>
        <v>9.27</v>
      </c>
      <c r="BB80">
        <v>11.23</v>
      </c>
      <c r="BC80">
        <v>12.59</v>
      </c>
      <c r="BD80" s="659">
        <f t="shared" si="37"/>
        <v>11.91</v>
      </c>
      <c r="BE80">
        <v>8.83</v>
      </c>
      <c r="BF80">
        <v>10.02</v>
      </c>
      <c r="BG80" s="659">
        <f t="shared" si="38"/>
        <v>9.4250000000000007</v>
      </c>
      <c r="BH80">
        <v>7.85</v>
      </c>
      <c r="BI80">
        <v>8.91</v>
      </c>
      <c r="BJ80" s="659">
        <f t="shared" si="39"/>
        <v>8.379999999999999</v>
      </c>
      <c r="BK80">
        <v>8.7200000000000006</v>
      </c>
      <c r="BL80">
        <v>9.9</v>
      </c>
      <c r="BM80" s="659">
        <f t="shared" si="40"/>
        <v>9.31</v>
      </c>
      <c r="BP80" s="659"/>
      <c r="BS80" s="659"/>
      <c r="BV80" s="659"/>
      <c r="BW80">
        <v>15.38</v>
      </c>
      <c r="BX80">
        <v>15</v>
      </c>
      <c r="BY80" s="659">
        <f t="shared" si="41"/>
        <v>15.190000000000001</v>
      </c>
      <c r="BZ80">
        <v>12.81</v>
      </c>
      <c r="CA80">
        <v>12.51</v>
      </c>
      <c r="CB80" s="659">
        <f t="shared" si="42"/>
        <v>12.66</v>
      </c>
      <c r="CE80" s="659"/>
      <c r="CH80" s="659"/>
    </row>
    <row r="81" spans="3:86">
      <c r="C81">
        <v>630</v>
      </c>
      <c r="D81">
        <v>690</v>
      </c>
      <c r="E81">
        <v>850</v>
      </c>
      <c r="F81">
        <v>925</v>
      </c>
      <c r="G81">
        <v>1225</v>
      </c>
      <c r="H81">
        <v>1225</v>
      </c>
      <c r="J81">
        <v>660</v>
      </c>
      <c r="U81" s="657">
        <v>9.68</v>
      </c>
      <c r="V81" s="458">
        <v>9.4</v>
      </c>
      <c r="W81" s="221">
        <f t="shared" si="26"/>
        <v>9.5399999999999991</v>
      </c>
      <c r="X81" s="458">
        <v>8.84</v>
      </c>
      <c r="Y81" s="458">
        <v>8.59</v>
      </c>
      <c r="Z81" s="659">
        <f t="shared" si="27"/>
        <v>8.7149999999999999</v>
      </c>
      <c r="AA81">
        <v>8.65</v>
      </c>
      <c r="AB81">
        <v>9.25</v>
      </c>
      <c r="AC81" s="659">
        <f t="shared" si="28"/>
        <v>8.9499999999999993</v>
      </c>
      <c r="AD81">
        <v>7.41</v>
      </c>
      <c r="AE81">
        <v>7.93</v>
      </c>
      <c r="AF81" s="659">
        <f t="shared" si="29"/>
        <v>7.67</v>
      </c>
      <c r="AG81">
        <v>8.74</v>
      </c>
      <c r="AH81">
        <v>7.54</v>
      </c>
      <c r="AI81" s="659">
        <f t="shared" si="30"/>
        <v>8.14</v>
      </c>
      <c r="AJ81">
        <v>7.68</v>
      </c>
      <c r="AK81">
        <v>6.63</v>
      </c>
      <c r="AL81" s="659">
        <f t="shared" si="31"/>
        <v>7.1549999999999994</v>
      </c>
      <c r="AM81">
        <v>9.14</v>
      </c>
      <c r="AN81">
        <v>7.72</v>
      </c>
      <c r="AO81" s="659">
        <f t="shared" si="32"/>
        <v>8.43</v>
      </c>
      <c r="AP81">
        <v>8.1300000000000008</v>
      </c>
      <c r="AQ81">
        <v>6.86</v>
      </c>
      <c r="AR81" s="659">
        <f t="shared" si="33"/>
        <v>7.495000000000001</v>
      </c>
      <c r="AS81">
        <v>10.33</v>
      </c>
      <c r="AT81">
        <v>11.78</v>
      </c>
      <c r="AU81" s="659">
        <f t="shared" si="34"/>
        <v>11.055</v>
      </c>
      <c r="AV81">
        <v>9.0399999999999991</v>
      </c>
      <c r="AW81">
        <v>10.31</v>
      </c>
      <c r="AX81" s="659">
        <f t="shared" si="35"/>
        <v>9.6750000000000007</v>
      </c>
      <c r="AY81">
        <v>8.0299999999999994</v>
      </c>
      <c r="AZ81">
        <v>9.17</v>
      </c>
      <c r="BA81" s="659">
        <f t="shared" si="36"/>
        <v>8.6</v>
      </c>
      <c r="BB81">
        <v>10.33</v>
      </c>
      <c r="BC81">
        <v>11.78</v>
      </c>
      <c r="BD81" s="659">
        <f t="shared" si="37"/>
        <v>11.055</v>
      </c>
      <c r="BE81">
        <v>8.08</v>
      </c>
      <c r="BF81">
        <v>9.35</v>
      </c>
      <c r="BG81" s="659">
        <f t="shared" si="38"/>
        <v>8.7149999999999999</v>
      </c>
      <c r="BH81">
        <v>7.19</v>
      </c>
      <c r="BI81">
        <v>8.31</v>
      </c>
      <c r="BJ81" s="659">
        <f t="shared" si="39"/>
        <v>7.75</v>
      </c>
      <c r="BK81">
        <v>7.99</v>
      </c>
      <c r="BL81">
        <v>9.23</v>
      </c>
      <c r="BM81" s="659">
        <f t="shared" si="40"/>
        <v>8.61</v>
      </c>
      <c r="BP81" s="659"/>
      <c r="BS81" s="659"/>
      <c r="BV81" s="659"/>
      <c r="BW81">
        <v>13.91</v>
      </c>
      <c r="BX81">
        <v>13.78</v>
      </c>
      <c r="BY81" s="659">
        <f t="shared" si="41"/>
        <v>13.844999999999999</v>
      </c>
      <c r="BZ81">
        <v>11.59</v>
      </c>
      <c r="CA81">
        <v>11.47</v>
      </c>
      <c r="CB81" s="659">
        <f t="shared" si="42"/>
        <v>11.530000000000001</v>
      </c>
      <c r="CE81" s="659"/>
      <c r="CH81" s="659"/>
    </row>
    <row r="82" spans="3:86">
      <c r="C82">
        <v>645</v>
      </c>
      <c r="D82">
        <v>710</v>
      </c>
      <c r="E82">
        <v>875</v>
      </c>
      <c r="F82">
        <v>950</v>
      </c>
      <c r="G82">
        <v>1250</v>
      </c>
      <c r="H82">
        <v>1250</v>
      </c>
      <c r="J82">
        <v>675</v>
      </c>
      <c r="U82" s="657">
        <v>14.48</v>
      </c>
      <c r="V82" s="458">
        <v>13.14</v>
      </c>
      <c r="W82" s="221">
        <f t="shared" si="26"/>
        <v>13.81</v>
      </c>
      <c r="X82" s="458">
        <v>13.22</v>
      </c>
      <c r="Y82" s="458">
        <v>12</v>
      </c>
      <c r="Z82" s="659">
        <f t="shared" si="27"/>
        <v>12.61</v>
      </c>
      <c r="AA82">
        <v>13.55</v>
      </c>
      <c r="AB82">
        <v>12.54</v>
      </c>
      <c r="AC82" s="659">
        <f t="shared" si="28"/>
        <v>13.045</v>
      </c>
      <c r="AD82">
        <v>11.62</v>
      </c>
      <c r="AE82">
        <v>10.75</v>
      </c>
      <c r="AF82" s="659">
        <f t="shared" si="29"/>
        <v>11.184999999999999</v>
      </c>
      <c r="AG82">
        <v>10.87</v>
      </c>
      <c r="AH82">
        <v>11.2</v>
      </c>
      <c r="AI82" s="659">
        <f t="shared" si="30"/>
        <v>11.035</v>
      </c>
      <c r="AJ82">
        <v>9.5500000000000007</v>
      </c>
      <c r="AK82">
        <v>9.85</v>
      </c>
      <c r="AL82" s="659">
        <f t="shared" si="31"/>
        <v>9.6999999999999993</v>
      </c>
      <c r="AM82">
        <v>8.25</v>
      </c>
      <c r="AN82">
        <v>7.04</v>
      </c>
      <c r="AO82" s="659">
        <f t="shared" si="32"/>
        <v>7.6449999999999996</v>
      </c>
      <c r="AP82">
        <v>7.34</v>
      </c>
      <c r="AQ82">
        <v>6.26</v>
      </c>
      <c r="AR82" s="659">
        <f t="shared" si="33"/>
        <v>6.8</v>
      </c>
      <c r="AS82">
        <v>9.49</v>
      </c>
      <c r="AT82">
        <v>11.03</v>
      </c>
      <c r="AU82" s="659">
        <f t="shared" si="34"/>
        <v>10.26</v>
      </c>
      <c r="AV82">
        <v>8.3000000000000007</v>
      </c>
      <c r="AW82">
        <v>9.65</v>
      </c>
      <c r="AX82" s="659">
        <f t="shared" si="35"/>
        <v>8.9750000000000014</v>
      </c>
      <c r="AY82">
        <v>7.38</v>
      </c>
      <c r="AZ82">
        <v>8.58</v>
      </c>
      <c r="BA82" s="659">
        <f t="shared" si="36"/>
        <v>7.98</v>
      </c>
      <c r="BB82">
        <v>9.49</v>
      </c>
      <c r="BC82">
        <v>11.03</v>
      </c>
      <c r="BD82" s="659">
        <f t="shared" si="37"/>
        <v>10.26</v>
      </c>
      <c r="BE82">
        <v>7.39</v>
      </c>
      <c r="BF82">
        <v>8.73</v>
      </c>
      <c r="BG82" s="659">
        <f t="shared" si="38"/>
        <v>8.06</v>
      </c>
      <c r="BH82">
        <v>6.57</v>
      </c>
      <c r="BI82">
        <v>7.76</v>
      </c>
      <c r="BJ82" s="659">
        <f t="shared" si="39"/>
        <v>7.165</v>
      </c>
      <c r="BK82">
        <v>7.3</v>
      </c>
      <c r="BL82">
        <v>8.6199999999999992</v>
      </c>
      <c r="BM82" s="659">
        <f t="shared" si="40"/>
        <v>7.9599999999999991</v>
      </c>
      <c r="BP82" s="659"/>
      <c r="BS82" s="659"/>
      <c r="BV82" s="659"/>
      <c r="BW82">
        <v>12.57</v>
      </c>
      <c r="BX82">
        <v>12.66</v>
      </c>
      <c r="BY82" s="659">
        <f t="shared" si="41"/>
        <v>12.615</v>
      </c>
      <c r="BZ82">
        <v>10.47</v>
      </c>
      <c r="CA82">
        <v>10.54</v>
      </c>
      <c r="CB82" s="659">
        <f t="shared" si="42"/>
        <v>10.504999999999999</v>
      </c>
      <c r="CE82" s="659"/>
      <c r="CH82" s="659"/>
    </row>
    <row r="83" spans="3:86">
      <c r="C83">
        <v>660</v>
      </c>
      <c r="D83">
        <v>730</v>
      </c>
      <c r="E83">
        <v>900</v>
      </c>
      <c r="F83">
        <v>975</v>
      </c>
      <c r="J83">
        <v>690</v>
      </c>
      <c r="U83" s="657">
        <v>12.92</v>
      </c>
      <c r="V83" s="458">
        <v>12.03</v>
      </c>
      <c r="W83" s="221">
        <f t="shared" si="26"/>
        <v>12.475</v>
      </c>
      <c r="X83" s="458">
        <v>11.8</v>
      </c>
      <c r="Y83" s="458">
        <v>10.98</v>
      </c>
      <c r="Z83" s="659">
        <f t="shared" si="27"/>
        <v>11.39</v>
      </c>
      <c r="AA83">
        <v>11.97</v>
      </c>
      <c r="AB83">
        <v>11.28</v>
      </c>
      <c r="AC83" s="659">
        <f t="shared" si="28"/>
        <v>11.625</v>
      </c>
      <c r="AD83">
        <v>10.26</v>
      </c>
      <c r="AE83">
        <v>9.67</v>
      </c>
      <c r="AF83" s="659">
        <f t="shared" si="29"/>
        <v>9.9649999999999999</v>
      </c>
      <c r="AG83">
        <v>9.33</v>
      </c>
      <c r="AH83">
        <v>9.6199999999999992</v>
      </c>
      <c r="AI83" s="659">
        <f t="shared" si="30"/>
        <v>9.4749999999999996</v>
      </c>
      <c r="AJ83">
        <v>8.1999999999999993</v>
      </c>
      <c r="AK83">
        <v>8.4600000000000009</v>
      </c>
      <c r="AL83" s="659">
        <f t="shared" si="31"/>
        <v>8.33</v>
      </c>
      <c r="AM83">
        <v>11.83</v>
      </c>
      <c r="AN83">
        <v>9.6300000000000008</v>
      </c>
      <c r="AO83" s="659">
        <f t="shared" si="32"/>
        <v>10.73</v>
      </c>
      <c r="AP83">
        <v>10.52</v>
      </c>
      <c r="AQ83">
        <v>8.56</v>
      </c>
      <c r="AR83" s="659">
        <f t="shared" si="33"/>
        <v>9.5399999999999991</v>
      </c>
      <c r="AU83" s="659"/>
      <c r="AX83" s="659"/>
      <c r="BA83" s="659"/>
      <c r="BD83" s="659"/>
      <c r="BG83" s="659"/>
      <c r="BJ83" s="659"/>
      <c r="BM83" s="659"/>
      <c r="BP83" s="659"/>
      <c r="BS83" s="659"/>
      <c r="BV83" s="659"/>
      <c r="BW83">
        <v>11.31</v>
      </c>
      <c r="BX83">
        <v>11.61</v>
      </c>
      <c r="BY83" s="659">
        <f t="shared" si="41"/>
        <v>11.46</v>
      </c>
      <c r="BZ83">
        <v>9.43</v>
      </c>
      <c r="CA83">
        <v>9.67</v>
      </c>
      <c r="CB83" s="659">
        <f t="shared" si="42"/>
        <v>9.5500000000000007</v>
      </c>
      <c r="CE83" s="659"/>
      <c r="CH83" s="659"/>
    </row>
    <row r="84" spans="3:86">
      <c r="C84">
        <v>675</v>
      </c>
      <c r="D84">
        <v>750</v>
      </c>
      <c r="E84">
        <v>925</v>
      </c>
      <c r="F84">
        <v>1000</v>
      </c>
      <c r="J84">
        <v>710</v>
      </c>
      <c r="U84" s="657">
        <v>11.51</v>
      </c>
      <c r="V84" s="458">
        <v>11.02</v>
      </c>
      <c r="W84" s="221">
        <f t="shared" si="26"/>
        <v>11.265000000000001</v>
      </c>
      <c r="X84" s="458">
        <v>10.51</v>
      </c>
      <c r="Y84" s="458">
        <v>10.06</v>
      </c>
      <c r="Z84" s="659">
        <f t="shared" si="27"/>
        <v>10.285</v>
      </c>
      <c r="AA84">
        <v>10.52</v>
      </c>
      <c r="AB84">
        <v>10.130000000000001</v>
      </c>
      <c r="AC84" s="659">
        <f t="shared" si="28"/>
        <v>10.324999999999999</v>
      </c>
      <c r="AD84">
        <v>9.02</v>
      </c>
      <c r="AE84">
        <v>8.69</v>
      </c>
      <c r="AF84" s="659">
        <f t="shared" si="29"/>
        <v>8.8550000000000004</v>
      </c>
      <c r="AG84">
        <v>7.95</v>
      </c>
      <c r="AH84">
        <v>8.2100000000000009</v>
      </c>
      <c r="AI84" s="659">
        <f t="shared" si="30"/>
        <v>8.08</v>
      </c>
      <c r="AJ84">
        <v>6.99</v>
      </c>
      <c r="AK84">
        <v>7.21</v>
      </c>
      <c r="AL84" s="659">
        <f t="shared" si="31"/>
        <v>7.1</v>
      </c>
      <c r="AM84">
        <v>10.74</v>
      </c>
      <c r="AN84">
        <v>8.81</v>
      </c>
      <c r="AO84" s="659">
        <f t="shared" si="32"/>
        <v>9.7750000000000004</v>
      </c>
      <c r="AP84">
        <v>9.5500000000000007</v>
      </c>
      <c r="AQ84">
        <v>7.83</v>
      </c>
      <c r="AR84" s="659">
        <f t="shared" si="33"/>
        <v>8.6900000000000013</v>
      </c>
      <c r="AU84" s="659"/>
      <c r="AX84" s="659"/>
      <c r="BA84" s="659"/>
      <c r="BD84" s="659"/>
      <c r="BG84" s="659"/>
      <c r="BJ84" s="659"/>
      <c r="BM84" s="659"/>
      <c r="BP84" s="659"/>
      <c r="BS84" s="659"/>
      <c r="BV84" s="659"/>
      <c r="BW84">
        <v>17.350000000000001</v>
      </c>
      <c r="BX84">
        <v>15.93</v>
      </c>
      <c r="BY84" s="659">
        <f t="shared" si="41"/>
        <v>16.64</v>
      </c>
      <c r="BZ84">
        <v>14.45</v>
      </c>
      <c r="CA84">
        <v>13.28</v>
      </c>
      <c r="CB84" s="659">
        <f t="shared" si="42"/>
        <v>13.864999999999998</v>
      </c>
      <c r="CE84" s="659"/>
      <c r="CH84" s="659"/>
    </row>
    <row r="85" spans="3:86">
      <c r="C85">
        <v>690</v>
      </c>
      <c r="D85">
        <v>770</v>
      </c>
      <c r="E85">
        <v>950</v>
      </c>
      <c r="F85">
        <v>1025</v>
      </c>
      <c r="J85">
        <v>730</v>
      </c>
      <c r="U85" s="657">
        <v>10.18</v>
      </c>
      <c r="V85" s="458">
        <v>10.07</v>
      </c>
      <c r="W85" s="221">
        <f t="shared" si="26"/>
        <v>10.125</v>
      </c>
      <c r="X85" s="458">
        <v>9.3000000000000007</v>
      </c>
      <c r="Y85" s="458">
        <v>9.19</v>
      </c>
      <c r="Z85" s="659">
        <f t="shared" si="27"/>
        <v>9.245000000000001</v>
      </c>
      <c r="AA85">
        <v>9.2100000000000009</v>
      </c>
      <c r="AB85">
        <v>9.1</v>
      </c>
      <c r="AC85" s="659">
        <f t="shared" si="28"/>
        <v>9.1550000000000011</v>
      </c>
      <c r="AD85">
        <v>7.9</v>
      </c>
      <c r="AE85">
        <v>7.8</v>
      </c>
      <c r="AF85" s="659">
        <f t="shared" si="29"/>
        <v>7.85</v>
      </c>
      <c r="AG85">
        <v>6.71</v>
      </c>
      <c r="AH85">
        <v>6.93</v>
      </c>
      <c r="AI85" s="659">
        <f t="shared" si="30"/>
        <v>6.82</v>
      </c>
      <c r="AJ85">
        <v>5.89</v>
      </c>
      <c r="AK85">
        <v>6.09</v>
      </c>
      <c r="AL85" s="659">
        <f t="shared" si="31"/>
        <v>5.99</v>
      </c>
      <c r="AM85">
        <v>9.74</v>
      </c>
      <c r="AN85">
        <v>8.0500000000000007</v>
      </c>
      <c r="AO85" s="659">
        <f t="shared" si="32"/>
        <v>8.8949999999999996</v>
      </c>
      <c r="AP85">
        <v>8.66</v>
      </c>
      <c r="AQ85">
        <v>7.15</v>
      </c>
      <c r="AR85" s="659">
        <f t="shared" si="33"/>
        <v>7.9050000000000002</v>
      </c>
      <c r="AU85" s="659"/>
      <c r="AX85" s="659"/>
      <c r="BA85" s="659"/>
      <c r="BD85" s="659"/>
      <c r="BG85" s="659"/>
      <c r="BJ85" s="659"/>
      <c r="BM85" s="659"/>
      <c r="BP85" s="659"/>
      <c r="BS85" s="659"/>
      <c r="BV85" s="659"/>
      <c r="BW85">
        <v>15.38</v>
      </c>
      <c r="BX85">
        <v>14.36</v>
      </c>
      <c r="BY85" s="659">
        <f t="shared" si="41"/>
        <v>14.870000000000001</v>
      </c>
      <c r="BZ85">
        <v>12.81</v>
      </c>
      <c r="CA85">
        <v>11.97</v>
      </c>
      <c r="CB85" s="659">
        <f t="shared" si="42"/>
        <v>12.39</v>
      </c>
      <c r="CE85" s="659"/>
      <c r="CH85" s="659"/>
    </row>
    <row r="86" spans="3:86">
      <c r="D86">
        <v>790</v>
      </c>
      <c r="E86">
        <v>975</v>
      </c>
      <c r="F86">
        <v>1050</v>
      </c>
      <c r="J86">
        <v>750</v>
      </c>
      <c r="AA86">
        <v>13.57</v>
      </c>
      <c r="AB86">
        <v>11.11</v>
      </c>
      <c r="AC86" s="659">
        <f t="shared" si="28"/>
        <v>12.34</v>
      </c>
      <c r="AD86">
        <v>11.63</v>
      </c>
      <c r="AE86">
        <v>9.52</v>
      </c>
      <c r="AF86" s="659">
        <f t="shared" si="29"/>
        <v>10.574999999999999</v>
      </c>
      <c r="AG86">
        <v>11.1</v>
      </c>
      <c r="AH86">
        <v>11.38</v>
      </c>
      <c r="AI86" s="659">
        <f t="shared" si="30"/>
        <v>11.24</v>
      </c>
      <c r="AJ86">
        <v>9.76</v>
      </c>
      <c r="AK86">
        <v>10</v>
      </c>
      <c r="AL86" s="659">
        <f t="shared" si="31"/>
        <v>9.879999999999999</v>
      </c>
      <c r="AM86">
        <v>8.82</v>
      </c>
      <c r="AN86">
        <v>7.35</v>
      </c>
      <c r="AO86" s="659">
        <f t="shared" si="32"/>
        <v>8.0850000000000009</v>
      </c>
      <c r="AP86">
        <v>7.84</v>
      </c>
      <c r="AQ86">
        <v>6.54</v>
      </c>
      <c r="AR86" s="659">
        <f t="shared" si="33"/>
        <v>7.1899999999999995</v>
      </c>
      <c r="AU86" s="659"/>
      <c r="AX86" s="659"/>
      <c r="BA86" s="659"/>
      <c r="BD86" s="659"/>
      <c r="BG86" s="659"/>
      <c r="BJ86" s="659"/>
      <c r="BM86" s="659"/>
      <c r="BP86" s="659"/>
      <c r="BS86" s="659"/>
      <c r="BV86" s="659"/>
      <c r="BW86">
        <v>13.58</v>
      </c>
      <c r="BX86">
        <v>12.94</v>
      </c>
      <c r="BY86" s="659">
        <f t="shared" si="41"/>
        <v>13.26</v>
      </c>
      <c r="BZ86">
        <v>11.32</v>
      </c>
      <c r="CA86">
        <v>10.77</v>
      </c>
      <c r="CB86" s="659">
        <f t="shared" si="42"/>
        <v>11.045</v>
      </c>
      <c r="CE86" s="659"/>
      <c r="CH86" s="659"/>
    </row>
    <row r="87" spans="3:86">
      <c r="D87">
        <v>810</v>
      </c>
      <c r="E87">
        <v>1000</v>
      </c>
      <c r="F87">
        <v>1175</v>
      </c>
      <c r="J87">
        <v>770</v>
      </c>
      <c r="AA87">
        <v>12.47</v>
      </c>
      <c r="AB87">
        <v>10.29</v>
      </c>
      <c r="AC87" s="659">
        <f t="shared" si="28"/>
        <v>11.379999999999999</v>
      </c>
      <c r="AD87">
        <v>10.69</v>
      </c>
      <c r="AE87">
        <v>8.82</v>
      </c>
      <c r="AF87" s="659">
        <f t="shared" si="29"/>
        <v>9.754999999999999</v>
      </c>
      <c r="AG87">
        <v>9.59</v>
      </c>
      <c r="AH87">
        <v>9.8699999999999992</v>
      </c>
      <c r="AI87" s="659">
        <f t="shared" si="30"/>
        <v>9.73</v>
      </c>
      <c r="AJ87">
        <v>8.42</v>
      </c>
      <c r="AK87">
        <v>8.67</v>
      </c>
      <c r="AL87" s="659">
        <f t="shared" si="31"/>
        <v>8.5449999999999999</v>
      </c>
      <c r="AM87">
        <v>21.5</v>
      </c>
      <c r="AN87">
        <v>10.72</v>
      </c>
      <c r="AO87" s="659">
        <f t="shared" si="32"/>
        <v>16.11</v>
      </c>
      <c r="AP87">
        <v>19.11</v>
      </c>
      <c r="AQ87">
        <v>9.52</v>
      </c>
      <c r="AR87" s="659">
        <f t="shared" si="33"/>
        <v>14.315</v>
      </c>
      <c r="AU87" s="659"/>
      <c r="AX87" s="659"/>
      <c r="BA87" s="659"/>
      <c r="BD87" s="659"/>
      <c r="BG87" s="659"/>
      <c r="BJ87" s="659"/>
      <c r="BM87" s="659"/>
      <c r="BP87" s="659"/>
      <c r="BS87" s="659"/>
      <c r="BV87" s="659"/>
      <c r="BW87">
        <v>11.98</v>
      </c>
      <c r="BX87">
        <v>11.65</v>
      </c>
      <c r="BY87" s="659">
        <f t="shared" si="41"/>
        <v>11.815000000000001</v>
      </c>
      <c r="BZ87">
        <v>9.99</v>
      </c>
      <c r="CA87">
        <v>9.7100000000000009</v>
      </c>
      <c r="CB87" s="659">
        <f t="shared" si="42"/>
        <v>9.8500000000000014</v>
      </c>
      <c r="CE87" s="659"/>
      <c r="CH87" s="659"/>
    </row>
    <row r="88" spans="3:86">
      <c r="D88">
        <v>830</v>
      </c>
      <c r="E88">
        <v>1025</v>
      </c>
      <c r="F88">
        <v>1200</v>
      </c>
      <c r="AA88">
        <v>11.44</v>
      </c>
      <c r="AB88">
        <v>9.52</v>
      </c>
      <c r="AC88" s="659">
        <f t="shared" si="28"/>
        <v>10.48</v>
      </c>
      <c r="AD88">
        <v>9.8000000000000007</v>
      </c>
      <c r="AE88">
        <v>8.16</v>
      </c>
      <c r="AF88" s="659">
        <f t="shared" si="29"/>
        <v>8.98</v>
      </c>
      <c r="AG88">
        <v>8.23</v>
      </c>
      <c r="AH88">
        <v>8.4600000000000009</v>
      </c>
      <c r="AI88" s="659">
        <f t="shared" si="30"/>
        <v>8.3450000000000006</v>
      </c>
      <c r="AJ88">
        <v>7.24</v>
      </c>
      <c r="AK88">
        <v>7.43</v>
      </c>
      <c r="AL88" s="659">
        <f t="shared" si="31"/>
        <v>7.335</v>
      </c>
      <c r="AM88">
        <v>20.25</v>
      </c>
      <c r="AN88">
        <v>10</v>
      </c>
      <c r="AO88" s="659">
        <f t="shared" si="32"/>
        <v>15.125</v>
      </c>
      <c r="AP88">
        <v>18</v>
      </c>
      <c r="AQ88">
        <v>8.89</v>
      </c>
      <c r="AR88" s="659">
        <f t="shared" si="33"/>
        <v>13.445</v>
      </c>
      <c r="AU88" s="659"/>
      <c r="AX88" s="659"/>
      <c r="BA88" s="659"/>
      <c r="BD88" s="659"/>
      <c r="BG88" s="659"/>
      <c r="BJ88" s="659"/>
      <c r="BM88" s="659"/>
      <c r="BP88" s="659"/>
      <c r="BS88" s="659"/>
      <c r="BV88" s="659"/>
      <c r="BY88" s="659"/>
      <c r="CB88" s="659"/>
      <c r="CE88" s="659"/>
      <c r="CH88" s="659"/>
    </row>
    <row r="89" spans="3:86">
      <c r="D89">
        <v>850</v>
      </c>
      <c r="E89">
        <v>1050</v>
      </c>
      <c r="F89">
        <v>1225</v>
      </c>
      <c r="AA89">
        <v>10.49</v>
      </c>
      <c r="AB89">
        <v>8.81</v>
      </c>
      <c r="AC89" s="659">
        <f t="shared" si="28"/>
        <v>9.65</v>
      </c>
      <c r="AD89">
        <v>8.99</v>
      </c>
      <c r="AE89">
        <v>7.55</v>
      </c>
      <c r="AF89" s="659">
        <f t="shared" si="29"/>
        <v>8.27</v>
      </c>
      <c r="AG89">
        <v>7</v>
      </c>
      <c r="AH89">
        <v>7.21</v>
      </c>
      <c r="AI89" s="659">
        <f t="shared" si="30"/>
        <v>7.1050000000000004</v>
      </c>
      <c r="AJ89">
        <v>6.15</v>
      </c>
      <c r="AK89">
        <v>6.33</v>
      </c>
      <c r="AL89" s="659">
        <f t="shared" si="31"/>
        <v>6.24</v>
      </c>
      <c r="AM89">
        <v>19.09</v>
      </c>
      <c r="AN89">
        <v>9.33</v>
      </c>
      <c r="AO89" s="659">
        <f t="shared" si="32"/>
        <v>14.21</v>
      </c>
      <c r="AP89">
        <v>16.97</v>
      </c>
      <c r="AQ89">
        <v>8.2899999999999991</v>
      </c>
      <c r="AR89" s="659">
        <f t="shared" si="33"/>
        <v>12.629999999999999</v>
      </c>
      <c r="AU89" s="659"/>
      <c r="AX89" s="659"/>
      <c r="BA89" s="659"/>
      <c r="BD89" s="659"/>
      <c r="BG89" s="659"/>
      <c r="BJ89" s="659"/>
      <c r="BM89" s="659"/>
      <c r="BP89" s="659"/>
      <c r="BS89" s="659"/>
      <c r="BV89" s="659"/>
      <c r="BY89" s="659"/>
      <c r="CB89" s="659"/>
      <c r="CE89" s="659"/>
      <c r="CH89" s="659"/>
    </row>
    <row r="90" spans="3:86">
      <c r="F90">
        <v>1250</v>
      </c>
      <c r="AM90">
        <v>18.010000000000002</v>
      </c>
      <c r="AN90">
        <v>8.7100000000000009</v>
      </c>
      <c r="AO90" s="659">
        <f t="shared" si="32"/>
        <v>13.360000000000001</v>
      </c>
      <c r="AP90">
        <v>16</v>
      </c>
      <c r="AQ90">
        <v>7.74</v>
      </c>
      <c r="AR90" s="659">
        <f t="shared" si="33"/>
        <v>11.870000000000001</v>
      </c>
      <c r="AU90" s="659"/>
      <c r="AX90" s="659"/>
      <c r="BA90" s="659"/>
      <c r="BD90" s="659"/>
      <c r="BG90" s="659"/>
      <c r="BJ90" s="659"/>
      <c r="BM90" s="659"/>
      <c r="BP90" s="659"/>
      <c r="BS90" s="659"/>
      <c r="BV90" s="659"/>
      <c r="BY90" s="659"/>
      <c r="CB90" s="659"/>
      <c r="CE90" s="659"/>
      <c r="CH90" s="659"/>
    </row>
  </sheetData>
  <sheetProtection algorithmName="SHA-512" hashValue="q+FIjgWdUZke4XJ5074RVzZEZLqLBBb4aQw7rcWFQ49peBYd/z3GkJ2Y+UuLn1yVjuWUUkpZbOos3BOAQBp2Vw==" saltValue="R8ICkn6b8m+5OzqJqwqDvA==" spinCount="100000" sheet="1" objects="1" scenarios="1"/>
  <mergeCells count="35">
    <mergeCell ref="CC1:CH1"/>
    <mergeCell ref="CC3:CE3"/>
    <mergeCell ref="CF3:CH3"/>
    <mergeCell ref="BN1:BV1"/>
    <mergeCell ref="BN3:BP3"/>
    <mergeCell ref="BQ3:BS3"/>
    <mergeCell ref="BT3:BV3"/>
    <mergeCell ref="BW1:CB1"/>
    <mergeCell ref="BW3:BY3"/>
    <mergeCell ref="BZ3:CB3"/>
    <mergeCell ref="BB1:BM1"/>
    <mergeCell ref="BB3:BD3"/>
    <mergeCell ref="BE3:BG3"/>
    <mergeCell ref="BH3:BJ3"/>
    <mergeCell ref="BK3:BM3"/>
    <mergeCell ref="AM1:AR1"/>
    <mergeCell ref="AM3:AO3"/>
    <mergeCell ref="AP3:AR3"/>
    <mergeCell ref="AS1:BA1"/>
    <mergeCell ref="AS3:AU3"/>
    <mergeCell ref="AV3:AX3"/>
    <mergeCell ref="AY3:BA3"/>
    <mergeCell ref="U1:Z1"/>
    <mergeCell ref="AA1:AF1"/>
    <mergeCell ref="X3:Z3"/>
    <mergeCell ref="O1:Q1"/>
    <mergeCell ref="O3:Q3"/>
    <mergeCell ref="R1:T1"/>
    <mergeCell ref="R3:T3"/>
    <mergeCell ref="U3:W3"/>
    <mergeCell ref="AG1:AL1"/>
    <mergeCell ref="AG3:AI3"/>
    <mergeCell ref="AJ3:AL3"/>
    <mergeCell ref="AA3:AC3"/>
    <mergeCell ref="AD3:AF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6">
    <pageSetUpPr fitToPage="1"/>
  </sheetPr>
  <dimension ref="K1:Y51"/>
  <sheetViews>
    <sheetView showGridLines="0" zoomScale="115" zoomScaleNormal="115" workbookViewId="0">
      <selection activeCell="K24" sqref="K24"/>
    </sheetView>
  </sheetViews>
  <sheetFormatPr defaultColWidth="9.08984375" defaultRowHeight="14.15" customHeight="1"/>
  <cols>
    <col min="1" max="2" width="9.08984375" style="534"/>
    <col min="3" max="5" width="9.08984375" style="534" customWidth="1"/>
    <col min="6" max="9" width="9.08984375" style="534"/>
    <col min="10" max="10" width="9.6328125" style="534" customWidth="1"/>
    <col min="11" max="11" width="25.54296875" style="534" customWidth="1"/>
    <col min="12" max="20" width="10.6328125" style="534" customWidth="1"/>
    <col min="21" max="21" width="10.54296875" style="534" customWidth="1"/>
    <col min="22" max="22" width="7" style="534" customWidth="1"/>
    <col min="23" max="23" width="5" style="534" customWidth="1"/>
    <col min="24" max="25" width="4.54296875" style="534" customWidth="1"/>
    <col min="26" max="26" width="10.6328125" style="534" customWidth="1"/>
    <col min="27" max="16384" width="9.08984375" style="534"/>
  </cols>
  <sheetData>
    <row r="1" spans="11:21" ht="25">
      <c r="K1" s="563" t="s">
        <v>882</v>
      </c>
      <c r="L1" s="564"/>
      <c r="M1" s="564"/>
      <c r="N1" s="564"/>
      <c r="O1" s="564"/>
      <c r="P1" s="564"/>
      <c r="Q1" s="564"/>
      <c r="R1" s="564"/>
      <c r="S1" s="564"/>
      <c r="T1" s="564"/>
      <c r="U1" s="564"/>
    </row>
    <row r="3" spans="11:21" ht="14.15" customHeight="1">
      <c r="K3" s="534" t="s">
        <v>883</v>
      </c>
      <c r="L3" s="860" t="s">
        <v>884</v>
      </c>
      <c r="M3" s="860"/>
      <c r="N3" s="860"/>
    </row>
    <row r="5" spans="11:21" ht="14.15" customHeight="1">
      <c r="K5" s="534" t="s">
        <v>885</v>
      </c>
      <c r="L5" s="633" t="s">
        <v>953</v>
      </c>
      <c r="M5" s="634" t="s">
        <v>998</v>
      </c>
      <c r="N5" s="565" t="s">
        <v>887</v>
      </c>
      <c r="O5" s="566">
        <v>2</v>
      </c>
    </row>
    <row r="6" spans="11:21" ht="14.15" customHeight="1">
      <c r="K6" s="534" t="s">
        <v>417</v>
      </c>
      <c r="L6" s="567">
        <v>327</v>
      </c>
      <c r="M6" s="534" t="s">
        <v>417</v>
      </c>
    </row>
    <row r="7" spans="11:21" ht="14.15" customHeight="1">
      <c r="K7" s="534" t="s">
        <v>888</v>
      </c>
      <c r="L7" s="567">
        <v>452.1</v>
      </c>
      <c r="M7" s="534" t="s">
        <v>120</v>
      </c>
    </row>
    <row r="9" spans="11:21" ht="14.15" customHeight="1">
      <c r="K9" s="568" t="s">
        <v>889</v>
      </c>
    </row>
    <row r="10" spans="11:21" ht="14.15" customHeight="1">
      <c r="K10" s="534" t="s">
        <v>890</v>
      </c>
      <c r="M10" s="569">
        <f ca="1">VLOOKUP(L5,'DTR02.01.03'!K9:M26,3,FALSE)</f>
        <v>2150</v>
      </c>
      <c r="N10" s="534" t="s">
        <v>120</v>
      </c>
    </row>
    <row r="11" spans="11:21" ht="14.15" customHeight="1">
      <c r="K11" s="534" t="s">
        <v>891</v>
      </c>
      <c r="M11" s="569">
        <f ca="1">VLOOKUP(L5,'DTR02.01.03'!K8:M25,2,FALSE)</f>
        <v>600</v>
      </c>
      <c r="N11" s="534" t="s">
        <v>892</v>
      </c>
    </row>
    <row r="12" spans="11:21" ht="14.15" customHeight="1">
      <c r="K12" s="534" t="s">
        <v>893</v>
      </c>
      <c r="L12" s="534" t="s">
        <v>894</v>
      </c>
      <c r="M12" s="570">
        <f ca="1">M10*O5/M11*L6</f>
        <v>2343.5</v>
      </c>
      <c r="N12" s="534" t="s">
        <v>120</v>
      </c>
    </row>
    <row r="14" spans="11:21" ht="14.15" customHeight="1">
      <c r="K14" s="568" t="s">
        <v>895</v>
      </c>
    </row>
    <row r="15" spans="11:21" ht="14.15" customHeight="1">
      <c r="K15" s="534" t="s">
        <v>896</v>
      </c>
      <c r="L15" s="534" t="s">
        <v>897</v>
      </c>
      <c r="M15" s="571">
        <f ca="1">L7/M12</f>
        <v>0.19291657776829529</v>
      </c>
    </row>
    <row r="16" spans="11:21" ht="14.15" customHeight="1">
      <c r="K16" s="572" t="s">
        <v>898</v>
      </c>
      <c r="M16" s="573" t="s">
        <v>899</v>
      </c>
    </row>
    <row r="17" spans="11:24" ht="14.15" customHeight="1">
      <c r="K17" s="574" t="s">
        <v>900</v>
      </c>
      <c r="M17" s="575" t="str">
        <f ca="1">IF(M15&lt;=0.4,1,IF(M15&lt;=0.7,2,3))+IF(O5&lt;=2,O5-1,2)&amp;IF(M16="B","A",IF(M16="C","C",IF(M16="D","R","")))</f>
        <v>2C</v>
      </c>
      <c r="N17" s="576"/>
    </row>
    <row r="18" spans="11:24" ht="14.15" customHeight="1">
      <c r="K18" s="534" t="s">
        <v>901</v>
      </c>
      <c r="M18" s="577">
        <f ca="1">T31</f>
        <v>79.324871494615564</v>
      </c>
      <c r="N18" s="534" t="s">
        <v>902</v>
      </c>
    </row>
    <row r="20" spans="11:24" ht="14.15" customHeight="1">
      <c r="K20" s="568" t="s">
        <v>903</v>
      </c>
    </row>
    <row r="21" spans="11:24" ht="14.15" customHeight="1">
      <c r="K21" s="534" t="s">
        <v>904</v>
      </c>
      <c r="M21" s="647">
        <f>Input!B38</f>
        <v>82</v>
      </c>
      <c r="N21" s="534" t="s">
        <v>902</v>
      </c>
    </row>
    <row r="22" spans="11:24" ht="14.15" customHeight="1">
      <c r="K22" s="534" t="s">
        <v>905</v>
      </c>
      <c r="M22" s="578">
        <f>M21+3</f>
        <v>85</v>
      </c>
      <c r="N22" s="534" t="s">
        <v>902</v>
      </c>
    </row>
    <row r="23" spans="11:24" ht="14.15" customHeight="1" thickBot="1"/>
    <row r="24" spans="11:24" ht="21.9" customHeight="1" thickBot="1">
      <c r="K24" s="579" t="s">
        <v>906</v>
      </c>
      <c r="L24" s="580"/>
      <c r="M24" s="581">
        <f ca="1">T33</f>
        <v>86.040427942428309</v>
      </c>
      <c r="N24" s="582" t="s">
        <v>902</v>
      </c>
    </row>
    <row r="26" spans="11:24" ht="14.15" customHeight="1">
      <c r="X26" s="583"/>
    </row>
    <row r="27" spans="11:24" ht="14.15" customHeight="1">
      <c r="K27" s="568"/>
      <c r="X27" s="583"/>
    </row>
    <row r="28" spans="11:24" ht="14.15" customHeight="1">
      <c r="K28" s="584"/>
      <c r="L28" s="585" t="s">
        <v>907</v>
      </c>
      <c r="M28" s="586"/>
      <c r="N28" s="586"/>
      <c r="O28" s="586"/>
      <c r="P28" s="587"/>
      <c r="Q28" s="586" t="s">
        <v>908</v>
      </c>
      <c r="R28" s="586" t="s">
        <v>909</v>
      </c>
      <c r="S28" s="588"/>
      <c r="T28" s="589" t="s">
        <v>910</v>
      </c>
      <c r="U28" s="583"/>
      <c r="V28" s="583"/>
      <c r="W28" s="583"/>
      <c r="X28" s="590"/>
    </row>
    <row r="29" spans="11:24" ht="14.15" customHeight="1">
      <c r="K29" s="584"/>
      <c r="L29" s="591" t="s">
        <v>911</v>
      </c>
      <c r="M29" s="592"/>
      <c r="N29" s="592"/>
      <c r="O29" s="592"/>
      <c r="P29" s="592"/>
      <c r="Q29" s="592"/>
      <c r="R29" s="592"/>
      <c r="S29" s="593"/>
      <c r="T29" s="594" t="s">
        <v>912</v>
      </c>
      <c r="U29" s="583"/>
      <c r="V29" s="583"/>
      <c r="W29" s="583"/>
      <c r="X29" s="583"/>
    </row>
    <row r="30" spans="11:24" ht="14.15" customHeight="1">
      <c r="K30" s="595"/>
      <c r="L30" s="596">
        <v>63</v>
      </c>
      <c r="M30" s="596">
        <v>125</v>
      </c>
      <c r="N30" s="596">
        <v>250</v>
      </c>
      <c r="O30" s="596">
        <v>500</v>
      </c>
      <c r="P30" s="596">
        <v>1000</v>
      </c>
      <c r="Q30" s="596">
        <v>2000</v>
      </c>
      <c r="R30" s="596">
        <v>4000</v>
      </c>
      <c r="S30" s="596">
        <v>8000</v>
      </c>
      <c r="T30" s="596" t="s">
        <v>913</v>
      </c>
      <c r="U30" s="590"/>
      <c r="V30" s="590"/>
      <c r="W30" s="590"/>
      <c r="X30" s="583"/>
    </row>
    <row r="31" spans="11:24" ht="14.15" customHeight="1">
      <c r="K31" s="597" t="s">
        <v>914</v>
      </c>
      <c r="L31" s="598">
        <f ca="1">INDEX(INDIRECT("fig"&amp;M16),1,IF(M15&lt;=0.4,1,IF(M15&lt;=0.7,2,3))+IF(O5&lt;=2,O5-1,2))</f>
        <v>79</v>
      </c>
      <c r="M31" s="598">
        <f ca="1">INDEX(INDIRECT("fig"&amp;M16),2,IF(M15&lt;=0.4,1,IF(M15&lt;=0.7,2,3))+IF(O5&lt;=2,O5-1,2))</f>
        <v>80</v>
      </c>
      <c r="N31" s="598">
        <f ca="1">INDEX(INDIRECT("fig"&amp;M16),3,IF(M15&lt;=0.4,1,IF(M15&lt;=0.7,2,3))+IF(O5&lt;=2,O5-1,2))</f>
        <v>79</v>
      </c>
      <c r="O31" s="598">
        <f ca="1">INDEX(INDIRECT("fig"&amp;M16),4,IF(M15&lt;=0.4,1,IF(M15&lt;=0.7,2,3))+IF(O5&lt;=2,O5-1,2))</f>
        <v>76</v>
      </c>
      <c r="P31" s="598">
        <f ca="1">INDEX(INDIRECT("fig"&amp;M16),5,IF(M15&lt;=0.4,1,IF(M15&lt;=0.7,2,3))+IF(O5&lt;=2,O5-1,2))</f>
        <v>74</v>
      </c>
      <c r="Q31" s="598">
        <f ca="1">INDEX(INDIRECT("fig"&amp;M16),6,IF(M15&lt;=0.4,1,IF(M15&lt;=0.7,2,3))+IF(O5&lt;=2,O5-1,2))</f>
        <v>72</v>
      </c>
      <c r="R31" s="598">
        <f ca="1">INDEX(INDIRECT("fig"&amp;M16),7,IF(M15&lt;=0.4,1,IF(M15&lt;=0.7,2,3))+IF(O5&lt;=2,O5-1,2))</f>
        <v>67</v>
      </c>
      <c r="S31" s="598">
        <f ca="1">INDEX(INDIRECT("fig"&amp;M16),8,IF(M15&lt;=0.4,1,IF(M15&lt;=0.7,2,3))+IF(O5&lt;=2,O5-1,2))</f>
        <v>59</v>
      </c>
      <c r="T31" s="599">
        <f ca="1">10*LOG10(10^((L31-26.2)/10)+10^((M31-16.1)/10)+10^((N31-8.6)/10)+10^((O31-3.2)/10)+10^(P31/10)+10^((Q31+1.2)/10)+10^((R31+1)/10)+10^((S31-1.1)/10))</f>
        <v>79.324871494615564</v>
      </c>
      <c r="U31" s="600">
        <f ca="1">10^(T31/10)</f>
        <v>85602638.198845461</v>
      </c>
      <c r="V31" s="583"/>
      <c r="W31" s="583"/>
      <c r="X31" s="583"/>
    </row>
    <row r="32" spans="11:24" ht="14.15" customHeight="1" thickBot="1">
      <c r="K32" s="597" t="s">
        <v>915</v>
      </c>
      <c r="L32" s="601"/>
      <c r="M32" s="601"/>
      <c r="N32" s="601"/>
      <c r="O32" s="601"/>
      <c r="P32" s="601"/>
      <c r="Q32" s="601"/>
      <c r="R32" s="601"/>
      <c r="S32" s="601"/>
      <c r="T32" s="599">
        <f>IF(L32="",M22,10*LOG10(10^((L32-26.2)/10)+10^((M32-16.1)/10)+10^((N32-8.6)/10)+10^((O32-3.2)/10)+10^(P32/10)+10^((Q32+1.2)/10)+10^((R32+1)/10)+10^((S32-1.1)/10)))</f>
        <v>85</v>
      </c>
      <c r="U32" s="600">
        <f>10^(T32/10)</f>
        <v>316227766.01683807</v>
      </c>
      <c r="V32" s="602" t="s">
        <v>916</v>
      </c>
      <c r="W32" s="583"/>
    </row>
    <row r="33" spans="11:25" ht="14.15" customHeight="1" thickBot="1">
      <c r="T33" s="603">
        <f ca="1">10*LOG10(U33)</f>
        <v>86.040427942428309</v>
      </c>
      <c r="U33" s="600">
        <f ca="1">SUM(U31:U32)</f>
        <v>401830404.21568352</v>
      </c>
      <c r="V33" s="583"/>
      <c r="W33" s="583"/>
    </row>
    <row r="34" spans="11:25" ht="14.15" customHeight="1">
      <c r="K34" s="597" t="s">
        <v>917</v>
      </c>
      <c r="L34" s="604">
        <f t="shared" ref="L34:S34" ca="1" si="0">10*LOG10((10^(L31/10)+10^(L32/10)))</f>
        <v>79.000000054674445</v>
      </c>
      <c r="M34" s="604">
        <f t="shared" ca="1" si="0"/>
        <v>80.000000043429452</v>
      </c>
      <c r="N34" s="604">
        <f t="shared" ca="1" si="0"/>
        <v>79.000000054674445</v>
      </c>
      <c r="O34" s="604">
        <f t="shared" ca="1" si="0"/>
        <v>76.000000109089839</v>
      </c>
      <c r="P34" s="604">
        <f t="shared" ca="1" si="0"/>
        <v>74.000000172895767</v>
      </c>
      <c r="Q34" s="604">
        <f t="shared" ca="1" si="0"/>
        <v>72.000000274021289</v>
      </c>
      <c r="R34" s="604">
        <f t="shared" ca="1" si="0"/>
        <v>67.000000866531337</v>
      </c>
      <c r="S34" s="604">
        <f t="shared" ca="1" si="0"/>
        <v>59.000005467440168</v>
      </c>
      <c r="T34" s="605">
        <f ca="1">10*LOG10(10^((L34-26.2)/10)+10^((M34-16.1)/10)+10^((N34-8.6)/10)+10^((O34-3.2)/10)+10^(P34/10)+10^((Q34+1.2)/10)+10^((R34+1)/10)+10^((S34-1.1)/10))</f>
        <v>79.324871748134441</v>
      </c>
      <c r="V34" s="583"/>
    </row>
    <row r="36" spans="11:25" ht="14.15" customHeight="1">
      <c r="V36" s="606" t="s">
        <v>918</v>
      </c>
    </row>
    <row r="37" spans="11:25" ht="36">
      <c r="V37" s="607" t="s">
        <v>913</v>
      </c>
      <c r="W37" s="608">
        <f ca="1">T31</f>
        <v>79.324871494615564</v>
      </c>
      <c r="X37" s="608">
        <f>T32</f>
        <v>85</v>
      </c>
      <c r="Y37" s="609">
        <f ca="1">T33</f>
        <v>86.040427942428309</v>
      </c>
    </row>
    <row r="38" spans="11:25" ht="27" customHeight="1">
      <c r="V38" s="607" t="s">
        <v>919</v>
      </c>
      <c r="W38" s="610">
        <f ca="1">S31</f>
        <v>59</v>
      </c>
      <c r="X38" s="610">
        <f>S32</f>
        <v>0</v>
      </c>
      <c r="Y38" s="610">
        <f ca="1">S34</f>
        <v>59.000005467440168</v>
      </c>
    </row>
    <row r="39" spans="11:25" ht="27" customHeight="1">
      <c r="V39" s="607" t="s">
        <v>920</v>
      </c>
      <c r="W39" s="610">
        <f ca="1">R31</f>
        <v>67</v>
      </c>
      <c r="X39" s="610">
        <f>R32</f>
        <v>0</v>
      </c>
      <c r="Y39" s="610">
        <f ca="1">R34</f>
        <v>67.000000866531337</v>
      </c>
    </row>
    <row r="40" spans="11:25" ht="27" customHeight="1">
      <c r="V40" s="607" t="s">
        <v>921</v>
      </c>
      <c r="W40" s="610">
        <f ca="1">Q31</f>
        <v>72</v>
      </c>
      <c r="X40" s="610">
        <f>Q32</f>
        <v>0</v>
      </c>
      <c r="Y40" s="610">
        <f ca="1">Q34</f>
        <v>72.000000274021289</v>
      </c>
    </row>
    <row r="41" spans="11:25" ht="27" customHeight="1">
      <c r="V41" s="607" t="s">
        <v>922</v>
      </c>
      <c r="W41" s="610">
        <f ca="1">P31</f>
        <v>74</v>
      </c>
      <c r="X41" s="610">
        <f>P32</f>
        <v>0</v>
      </c>
      <c r="Y41" s="610">
        <f ca="1">P34</f>
        <v>74.000000172895767</v>
      </c>
    </row>
    <row r="42" spans="11:25" ht="27" customHeight="1">
      <c r="V42" s="607">
        <v>500</v>
      </c>
      <c r="W42" s="610">
        <f ca="1">O31</f>
        <v>76</v>
      </c>
      <c r="X42" s="610">
        <f>O32</f>
        <v>0</v>
      </c>
      <c r="Y42" s="610">
        <f ca="1">O34</f>
        <v>76.000000109089839</v>
      </c>
    </row>
    <row r="43" spans="11:25" ht="27" customHeight="1">
      <c r="V43" s="607">
        <v>250</v>
      </c>
      <c r="W43" s="610">
        <f ca="1">N31</f>
        <v>79</v>
      </c>
      <c r="X43" s="610">
        <f>N32</f>
        <v>0</v>
      </c>
      <c r="Y43" s="610">
        <f ca="1">N34</f>
        <v>79.000000054674445</v>
      </c>
    </row>
    <row r="44" spans="11:25" ht="27" customHeight="1">
      <c r="V44" s="607">
        <v>125</v>
      </c>
      <c r="W44" s="610">
        <f ca="1">M31</f>
        <v>80</v>
      </c>
      <c r="X44" s="610">
        <f>M32</f>
        <v>0</v>
      </c>
      <c r="Y44" s="610">
        <f ca="1">M34</f>
        <v>80.000000043429452</v>
      </c>
    </row>
    <row r="45" spans="11:25" ht="27" customHeight="1">
      <c r="V45" s="607">
        <v>63</v>
      </c>
      <c r="W45" s="610">
        <f ca="1">L31</f>
        <v>79</v>
      </c>
      <c r="X45" s="610">
        <f>L32</f>
        <v>0</v>
      </c>
      <c r="Y45" s="610">
        <f ca="1">L34</f>
        <v>79.000000054674445</v>
      </c>
    </row>
    <row r="46" spans="11:25" ht="14.15" customHeight="1">
      <c r="W46" s="861" t="s">
        <v>914</v>
      </c>
      <c r="X46" s="861" t="s">
        <v>915</v>
      </c>
      <c r="Y46" s="861" t="s">
        <v>51</v>
      </c>
    </row>
    <row r="47" spans="11:25" ht="14.15" customHeight="1">
      <c r="W47" s="861"/>
      <c r="X47" s="861"/>
      <c r="Y47" s="861"/>
    </row>
    <row r="48" spans="11:25" ht="14.15" customHeight="1">
      <c r="W48" s="861"/>
      <c r="X48" s="861"/>
      <c r="Y48" s="861"/>
    </row>
    <row r="49" spans="23:25" ht="14.15" customHeight="1">
      <c r="W49" s="861"/>
      <c r="X49" s="861"/>
      <c r="Y49" s="861"/>
    </row>
    <row r="50" spans="23:25" ht="14.15" customHeight="1">
      <c r="W50" s="861"/>
      <c r="X50" s="861"/>
      <c r="Y50" s="861"/>
    </row>
    <row r="51" spans="23:25" ht="14.15" customHeight="1">
      <c r="W51" s="861"/>
      <c r="X51" s="861"/>
      <c r="Y51" s="861"/>
    </row>
  </sheetData>
  <sheetProtection algorithmName="SHA-512" hashValue="nKPymrQC5zhm5wY4PrnP0bsWzO+FeEGUdxOCFBJhfBAvJIpvH+OINX8lP92OmXG9PLOghdvpN9y6pRDJAKpplw==" saltValue="gkFvW2nmIQfizhTU2leecg==" spinCount="100000" sheet="1" objects="1" scenarios="1"/>
  <dataConsolidate/>
  <mergeCells count="4">
    <mergeCell ref="L3:N3"/>
    <mergeCell ref="W46:W51"/>
    <mergeCell ref="X46:X51"/>
    <mergeCell ref="Y46:Y51"/>
  </mergeCells>
  <dataValidations disablePrompts="1" count="2">
    <dataValidation type="list" allowBlank="1" showInputMessage="1" showErrorMessage="1" sqref="L3" xr:uid="{00000000-0002-0000-0800-000000000000}">
      <formula1>serie</formula1>
    </dataValidation>
    <dataValidation type="list" allowBlank="1" showInputMessage="1" showErrorMessage="1" sqref="M16" xr:uid="{00000000-0002-0000-0800-000001000000}">
      <formula1>"A,B,C,D"</formula1>
    </dataValidation>
  </dataValidations>
  <pageMargins left="0.74803149606299213" right="0.74803149606299213" top="0.98425196850393704" bottom="0.98425196850393704" header="0.51181102362204722" footer="0.51181102362204722"/>
  <pageSetup paperSize="9" scale="72"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7">
    <pageSetUpPr fitToPage="1"/>
  </sheetPr>
  <dimension ref="K1:Y51"/>
  <sheetViews>
    <sheetView showGridLines="0" topLeftCell="G1" zoomScale="115" zoomScaleNormal="115" workbookViewId="0">
      <selection activeCell="L5" sqref="L5"/>
    </sheetView>
  </sheetViews>
  <sheetFormatPr defaultColWidth="9.08984375" defaultRowHeight="14.15" customHeight="1"/>
  <cols>
    <col min="1" max="2" width="9.08984375" style="534"/>
    <col min="3" max="5" width="9.08984375" style="534" customWidth="1"/>
    <col min="6" max="9" width="9.08984375" style="534"/>
    <col min="10" max="10" width="9.6328125" style="534" customWidth="1"/>
    <col min="11" max="11" width="25.54296875" style="534" customWidth="1"/>
    <col min="12" max="20" width="10.6328125" style="534" customWidth="1"/>
    <col min="21" max="21" width="10.54296875" style="534" customWidth="1"/>
    <col min="22" max="22" width="7" style="534" customWidth="1"/>
    <col min="23" max="23" width="5" style="534" customWidth="1"/>
    <col min="24" max="25" width="4.54296875" style="534" customWidth="1"/>
    <col min="26" max="26" width="10.6328125" style="534" customWidth="1"/>
    <col min="27" max="16384" width="9.08984375" style="534"/>
  </cols>
  <sheetData>
    <row r="1" spans="11:21" ht="25">
      <c r="K1" s="563" t="s">
        <v>882</v>
      </c>
      <c r="L1" s="564"/>
      <c r="M1" s="564"/>
      <c r="N1" s="564"/>
      <c r="O1" s="564"/>
      <c r="P1" s="564"/>
      <c r="Q1" s="564"/>
      <c r="R1" s="564"/>
      <c r="S1" s="564"/>
      <c r="T1" s="564"/>
      <c r="U1" s="564"/>
    </row>
    <row r="3" spans="11:21" ht="14.15" customHeight="1">
      <c r="K3" s="534" t="s">
        <v>883</v>
      </c>
      <c r="L3" s="860" t="s">
        <v>884</v>
      </c>
      <c r="M3" s="860"/>
      <c r="N3" s="860"/>
    </row>
    <row r="5" spans="11:21" ht="14.15" customHeight="1">
      <c r="K5" s="534" t="s">
        <v>885</v>
      </c>
      <c r="L5" s="633" t="s">
        <v>953</v>
      </c>
      <c r="M5" s="634" t="s">
        <v>998</v>
      </c>
      <c r="N5" s="565" t="s">
        <v>887</v>
      </c>
      <c r="O5" s="566">
        <v>2</v>
      </c>
    </row>
    <row r="6" spans="11:21" ht="14.15" customHeight="1">
      <c r="K6" s="534" t="s">
        <v>417</v>
      </c>
      <c r="L6" s="567">
        <v>327</v>
      </c>
      <c r="M6" s="534" t="s">
        <v>417</v>
      </c>
    </row>
    <row r="7" spans="11:21" ht="14.15" customHeight="1">
      <c r="K7" s="534" t="s">
        <v>888</v>
      </c>
      <c r="L7" s="567">
        <v>452.1</v>
      </c>
      <c r="M7" s="534" t="s">
        <v>120</v>
      </c>
    </row>
    <row r="9" spans="11:21" ht="14.15" customHeight="1">
      <c r="K9" s="568" t="s">
        <v>889</v>
      </c>
    </row>
    <row r="10" spans="11:21" ht="14.15" customHeight="1">
      <c r="K10" s="534" t="s">
        <v>890</v>
      </c>
      <c r="M10" s="569">
        <f ca="1">VLOOKUP(L5,'DTR02.01.03'!K9:M26,3,FALSE)</f>
        <v>2150</v>
      </c>
      <c r="N10" s="534" t="s">
        <v>120</v>
      </c>
    </row>
    <row r="11" spans="11:21" ht="14.15" customHeight="1">
      <c r="K11" s="534" t="s">
        <v>891</v>
      </c>
      <c r="M11" s="569">
        <f ca="1">VLOOKUP(L5,'DTR02.01.03'!K8:M25,2,FALSE)</f>
        <v>600</v>
      </c>
      <c r="N11" s="534" t="s">
        <v>892</v>
      </c>
    </row>
    <row r="12" spans="11:21" ht="14.15" customHeight="1">
      <c r="K12" s="534" t="s">
        <v>893</v>
      </c>
      <c r="L12" s="534" t="s">
        <v>894</v>
      </c>
      <c r="M12" s="570">
        <f ca="1">M10*O5/M11*L6</f>
        <v>2343.5</v>
      </c>
      <c r="N12" s="534" t="s">
        <v>120</v>
      </c>
    </row>
    <row r="14" spans="11:21" ht="14.15" customHeight="1">
      <c r="K14" s="568" t="s">
        <v>895</v>
      </c>
    </row>
    <row r="15" spans="11:21" ht="14.15" customHeight="1">
      <c r="K15" s="534" t="s">
        <v>896</v>
      </c>
      <c r="L15" s="534" t="s">
        <v>897</v>
      </c>
      <c r="M15" s="571">
        <f ca="1">L7/M12</f>
        <v>0.19291657776829529</v>
      </c>
    </row>
    <row r="16" spans="11:21" ht="14.15" customHeight="1">
      <c r="K16" s="572" t="s">
        <v>898</v>
      </c>
      <c r="M16" s="573" t="s">
        <v>899</v>
      </c>
    </row>
    <row r="17" spans="11:24" ht="14.15" customHeight="1">
      <c r="K17" s="574" t="s">
        <v>900</v>
      </c>
      <c r="M17" s="575" t="str">
        <f ca="1">IF(M15&lt;=0.4,1,IF(M15&lt;=0.7,2,3))+IF(O5&lt;=2,O5-1,2)&amp;IF(M16="B","A",IF(M16="C","C",IF(M16="D","R","")))</f>
        <v>2C</v>
      </c>
      <c r="N17" s="576"/>
    </row>
    <row r="18" spans="11:24" ht="14.15" customHeight="1">
      <c r="K18" s="534" t="s">
        <v>901</v>
      </c>
      <c r="M18" s="577">
        <f ca="1">T31</f>
        <v>79.324871494615564</v>
      </c>
      <c r="N18" s="534" t="s">
        <v>902</v>
      </c>
    </row>
    <row r="20" spans="11:24" ht="14.15" customHeight="1">
      <c r="K20" s="568" t="s">
        <v>903</v>
      </c>
    </row>
    <row r="21" spans="11:24" ht="14.15" customHeight="1">
      <c r="K21" s="534" t="s">
        <v>904</v>
      </c>
      <c r="M21" s="647">
        <f>Input!B38</f>
        <v>82</v>
      </c>
      <c r="N21" s="534" t="s">
        <v>902</v>
      </c>
    </row>
    <row r="22" spans="11:24" ht="14.15" customHeight="1">
      <c r="K22" s="534" t="s">
        <v>905</v>
      </c>
      <c r="M22" s="578">
        <f>M21+3</f>
        <v>85</v>
      </c>
      <c r="N22" s="534" t="s">
        <v>902</v>
      </c>
    </row>
    <row r="23" spans="11:24" ht="14.15" customHeight="1" thickBot="1"/>
    <row r="24" spans="11:24" ht="21.9" customHeight="1" thickBot="1">
      <c r="K24" s="579" t="s">
        <v>906</v>
      </c>
      <c r="L24" s="580"/>
      <c r="M24" s="581">
        <f ca="1">T33</f>
        <v>86.040427942428309</v>
      </c>
      <c r="N24" s="582" t="s">
        <v>902</v>
      </c>
    </row>
    <row r="26" spans="11:24" ht="14.15" customHeight="1">
      <c r="X26" s="583"/>
    </row>
    <row r="27" spans="11:24" ht="14.15" customHeight="1">
      <c r="K27" s="568"/>
      <c r="X27" s="583"/>
    </row>
    <row r="28" spans="11:24" ht="14.15" customHeight="1">
      <c r="K28" s="584"/>
      <c r="L28" s="585" t="s">
        <v>907</v>
      </c>
      <c r="M28" s="586"/>
      <c r="N28" s="586"/>
      <c r="O28" s="586"/>
      <c r="P28" s="587"/>
      <c r="Q28" s="586" t="s">
        <v>908</v>
      </c>
      <c r="R28" s="586" t="s">
        <v>909</v>
      </c>
      <c r="S28" s="588"/>
      <c r="T28" s="589" t="s">
        <v>910</v>
      </c>
      <c r="U28" s="583"/>
      <c r="V28" s="583"/>
      <c r="W28" s="583"/>
      <c r="X28" s="590"/>
    </row>
    <row r="29" spans="11:24" ht="14.15" customHeight="1">
      <c r="K29" s="584"/>
      <c r="L29" s="591" t="s">
        <v>911</v>
      </c>
      <c r="M29" s="592"/>
      <c r="N29" s="592"/>
      <c r="O29" s="592"/>
      <c r="P29" s="592"/>
      <c r="Q29" s="592"/>
      <c r="R29" s="592"/>
      <c r="S29" s="593"/>
      <c r="T29" s="594" t="s">
        <v>912</v>
      </c>
      <c r="U29" s="583"/>
      <c r="V29" s="583"/>
      <c r="W29" s="583"/>
      <c r="X29" s="583"/>
    </row>
    <row r="30" spans="11:24" ht="14.15" customHeight="1">
      <c r="K30" s="595"/>
      <c r="L30" s="596">
        <v>63</v>
      </c>
      <c r="M30" s="596">
        <v>125</v>
      </c>
      <c r="N30" s="596">
        <v>250</v>
      </c>
      <c r="O30" s="596">
        <v>500</v>
      </c>
      <c r="P30" s="596">
        <v>1000</v>
      </c>
      <c r="Q30" s="596">
        <v>2000</v>
      </c>
      <c r="R30" s="596">
        <v>4000</v>
      </c>
      <c r="S30" s="596">
        <v>8000</v>
      </c>
      <c r="T30" s="596" t="s">
        <v>913</v>
      </c>
      <c r="U30" s="590"/>
      <c r="V30" s="590"/>
      <c r="W30" s="590"/>
      <c r="X30" s="583"/>
    </row>
    <row r="31" spans="11:24" ht="14.15" customHeight="1">
      <c r="K31" s="597" t="s">
        <v>914</v>
      </c>
      <c r="L31" s="598">
        <f ca="1">INDEX(INDIRECT("fig"&amp;M16),1,IF(M15&lt;=0.4,1,IF(M15&lt;=0.7,2,3))+IF(O5&lt;=2,O5-1,2))</f>
        <v>79</v>
      </c>
      <c r="M31" s="598">
        <f ca="1">INDEX(INDIRECT("fig"&amp;M16),2,IF(M15&lt;=0.4,1,IF(M15&lt;=0.7,2,3))+IF(O5&lt;=2,O5-1,2))</f>
        <v>80</v>
      </c>
      <c r="N31" s="598">
        <f ca="1">INDEX(INDIRECT("fig"&amp;M16),3,IF(M15&lt;=0.4,1,IF(M15&lt;=0.7,2,3))+IF(O5&lt;=2,O5-1,2))</f>
        <v>79</v>
      </c>
      <c r="O31" s="598">
        <f ca="1">INDEX(INDIRECT("fig"&amp;M16),4,IF(M15&lt;=0.4,1,IF(M15&lt;=0.7,2,3))+IF(O5&lt;=2,O5-1,2))</f>
        <v>76</v>
      </c>
      <c r="P31" s="598">
        <f ca="1">INDEX(INDIRECT("fig"&amp;M16),5,IF(M15&lt;=0.4,1,IF(M15&lt;=0.7,2,3))+IF(O5&lt;=2,O5-1,2))</f>
        <v>74</v>
      </c>
      <c r="Q31" s="598">
        <f ca="1">INDEX(INDIRECT("fig"&amp;M16),6,IF(M15&lt;=0.4,1,IF(M15&lt;=0.7,2,3))+IF(O5&lt;=2,O5-1,2))</f>
        <v>72</v>
      </c>
      <c r="R31" s="598">
        <f ca="1">INDEX(INDIRECT("fig"&amp;M16),7,IF(M15&lt;=0.4,1,IF(M15&lt;=0.7,2,3))+IF(O5&lt;=2,O5-1,2))</f>
        <v>67</v>
      </c>
      <c r="S31" s="598">
        <f ca="1">INDEX(INDIRECT("fig"&amp;M16),8,IF(M15&lt;=0.4,1,IF(M15&lt;=0.7,2,3))+IF(O5&lt;=2,O5-1,2))</f>
        <v>59</v>
      </c>
      <c r="T31" s="599">
        <f ca="1">10*LOG10(10^((L31-26.2)/10)+10^((M31-16.1)/10)+10^((N31-8.6)/10)+10^((O31-3.2)/10)+10^(P31/10)+10^((Q31+1.2)/10)+10^((R31+1)/10)+10^((S31-1.1)/10))</f>
        <v>79.324871494615564</v>
      </c>
      <c r="U31" s="600">
        <f ca="1">10^(T31/10)</f>
        <v>85602638.198845461</v>
      </c>
      <c r="V31" s="583"/>
      <c r="W31" s="583"/>
      <c r="X31" s="583"/>
    </row>
    <row r="32" spans="11:24" ht="14.15" customHeight="1" thickBot="1">
      <c r="K32" s="597" t="s">
        <v>915</v>
      </c>
      <c r="L32" s="601"/>
      <c r="M32" s="601"/>
      <c r="N32" s="601"/>
      <c r="O32" s="601"/>
      <c r="P32" s="601"/>
      <c r="Q32" s="601"/>
      <c r="R32" s="601"/>
      <c r="S32" s="601"/>
      <c r="T32" s="599">
        <f>IF(L32="",M22,10*LOG10(10^((L32-26.2)/10)+10^((M32-16.1)/10)+10^((N32-8.6)/10)+10^((O32-3.2)/10)+10^(P32/10)+10^((Q32+1.2)/10)+10^((R32+1)/10)+10^((S32-1.1)/10)))</f>
        <v>85</v>
      </c>
      <c r="U32" s="600">
        <f>10^(T32/10)</f>
        <v>316227766.01683807</v>
      </c>
      <c r="V32" s="602" t="s">
        <v>916</v>
      </c>
      <c r="W32" s="583"/>
    </row>
    <row r="33" spans="11:25" ht="14.15" customHeight="1" thickBot="1">
      <c r="T33" s="603">
        <f ca="1">10*LOG10(U33)</f>
        <v>86.040427942428309</v>
      </c>
      <c r="U33" s="600">
        <f ca="1">SUM(U31:U32)</f>
        <v>401830404.21568352</v>
      </c>
      <c r="V33" s="583"/>
      <c r="W33" s="583"/>
    </row>
    <row r="34" spans="11:25" ht="14.15" customHeight="1">
      <c r="K34" s="597" t="s">
        <v>917</v>
      </c>
      <c r="L34" s="604">
        <f t="shared" ref="L34:S34" ca="1" si="0">10*LOG10((10^(L31/10)+10^(L32/10)))</f>
        <v>79.000000054674445</v>
      </c>
      <c r="M34" s="604">
        <f t="shared" ca="1" si="0"/>
        <v>80.000000043429452</v>
      </c>
      <c r="N34" s="604">
        <f t="shared" ca="1" si="0"/>
        <v>79.000000054674445</v>
      </c>
      <c r="O34" s="604">
        <f t="shared" ca="1" si="0"/>
        <v>76.000000109089839</v>
      </c>
      <c r="P34" s="604">
        <f t="shared" ca="1" si="0"/>
        <v>74.000000172895767</v>
      </c>
      <c r="Q34" s="604">
        <f t="shared" ca="1" si="0"/>
        <v>72.000000274021289</v>
      </c>
      <c r="R34" s="604">
        <f t="shared" ca="1" si="0"/>
        <v>67.000000866531337</v>
      </c>
      <c r="S34" s="604">
        <f t="shared" ca="1" si="0"/>
        <v>59.000005467440168</v>
      </c>
      <c r="T34" s="605">
        <f ca="1">10*LOG10(10^((L34-26.2)/10)+10^((M34-16.1)/10)+10^((N34-8.6)/10)+10^((O34-3.2)/10)+10^(P34/10)+10^((Q34+1.2)/10)+10^((R34+1)/10)+10^((S34-1.1)/10))</f>
        <v>79.324871748134441</v>
      </c>
      <c r="V34" s="583"/>
    </row>
    <row r="36" spans="11:25" ht="14.15" customHeight="1">
      <c r="V36" s="606" t="s">
        <v>918</v>
      </c>
    </row>
    <row r="37" spans="11:25" ht="36">
      <c r="V37" s="607" t="s">
        <v>913</v>
      </c>
      <c r="W37" s="608">
        <f ca="1">T31</f>
        <v>79.324871494615564</v>
      </c>
      <c r="X37" s="608">
        <f>T32</f>
        <v>85</v>
      </c>
      <c r="Y37" s="609">
        <f ca="1">T33</f>
        <v>86.040427942428309</v>
      </c>
    </row>
    <row r="38" spans="11:25" ht="27" customHeight="1">
      <c r="V38" s="607" t="s">
        <v>919</v>
      </c>
      <c r="W38" s="610">
        <f ca="1">S31</f>
        <v>59</v>
      </c>
      <c r="X38" s="610">
        <f>S32</f>
        <v>0</v>
      </c>
      <c r="Y38" s="610">
        <f ca="1">S34</f>
        <v>59.000005467440168</v>
      </c>
    </row>
    <row r="39" spans="11:25" ht="27" customHeight="1">
      <c r="V39" s="607" t="s">
        <v>920</v>
      </c>
      <c r="W39" s="610">
        <f ca="1">R31</f>
        <v>67</v>
      </c>
      <c r="X39" s="610">
        <f>R32</f>
        <v>0</v>
      </c>
      <c r="Y39" s="610">
        <f ca="1">R34</f>
        <v>67.000000866531337</v>
      </c>
    </row>
    <row r="40" spans="11:25" ht="27" customHeight="1">
      <c r="V40" s="607" t="s">
        <v>921</v>
      </c>
      <c r="W40" s="610">
        <f ca="1">Q31</f>
        <v>72</v>
      </c>
      <c r="X40" s="610">
        <f>Q32</f>
        <v>0</v>
      </c>
      <c r="Y40" s="610">
        <f ca="1">Q34</f>
        <v>72.000000274021289</v>
      </c>
    </row>
    <row r="41" spans="11:25" ht="27" customHeight="1">
      <c r="V41" s="607" t="s">
        <v>922</v>
      </c>
      <c r="W41" s="610">
        <f ca="1">P31</f>
        <v>74</v>
      </c>
      <c r="X41" s="610">
        <f>P32</f>
        <v>0</v>
      </c>
      <c r="Y41" s="610">
        <f ca="1">P34</f>
        <v>74.000000172895767</v>
      </c>
    </row>
    <row r="42" spans="11:25" ht="27" customHeight="1">
      <c r="V42" s="607">
        <v>500</v>
      </c>
      <c r="W42" s="610">
        <f ca="1">O31</f>
        <v>76</v>
      </c>
      <c r="X42" s="610">
        <f>O32</f>
        <v>0</v>
      </c>
      <c r="Y42" s="610">
        <f ca="1">O34</f>
        <v>76.000000109089839</v>
      </c>
    </row>
    <row r="43" spans="11:25" ht="27" customHeight="1">
      <c r="V43" s="607">
        <v>250</v>
      </c>
      <c r="W43" s="610">
        <f ca="1">N31</f>
        <v>79</v>
      </c>
      <c r="X43" s="610">
        <f>N32</f>
        <v>0</v>
      </c>
      <c r="Y43" s="610">
        <f ca="1">N34</f>
        <v>79.000000054674445</v>
      </c>
    </row>
    <row r="44" spans="11:25" ht="27" customHeight="1">
      <c r="V44" s="607">
        <v>125</v>
      </c>
      <c r="W44" s="610">
        <f ca="1">M31</f>
        <v>80</v>
      </c>
      <c r="X44" s="610">
        <f>M32</f>
        <v>0</v>
      </c>
      <c r="Y44" s="610">
        <f ca="1">M34</f>
        <v>80.000000043429452</v>
      </c>
    </row>
    <row r="45" spans="11:25" ht="27" customHeight="1">
      <c r="V45" s="607">
        <v>63</v>
      </c>
      <c r="W45" s="610">
        <f ca="1">L31</f>
        <v>79</v>
      </c>
      <c r="X45" s="610">
        <f>L32</f>
        <v>0</v>
      </c>
      <c r="Y45" s="610">
        <f ca="1">L34</f>
        <v>79.000000054674445</v>
      </c>
    </row>
    <row r="46" spans="11:25" ht="14.15" customHeight="1">
      <c r="W46" s="861" t="s">
        <v>914</v>
      </c>
      <c r="X46" s="861" t="s">
        <v>915</v>
      </c>
      <c r="Y46" s="861" t="s">
        <v>51</v>
      </c>
    </row>
    <row r="47" spans="11:25" ht="14.15" customHeight="1">
      <c r="W47" s="861"/>
      <c r="X47" s="861"/>
      <c r="Y47" s="861"/>
    </row>
    <row r="48" spans="11:25" ht="14.15" customHeight="1">
      <c r="W48" s="861"/>
      <c r="X48" s="861"/>
      <c r="Y48" s="861"/>
    </row>
    <row r="49" spans="23:25" ht="14.15" customHeight="1">
      <c r="W49" s="861"/>
      <c r="X49" s="861"/>
      <c r="Y49" s="861"/>
    </row>
    <row r="50" spans="23:25" ht="14.15" customHeight="1">
      <c r="W50" s="861"/>
      <c r="X50" s="861"/>
      <c r="Y50" s="861"/>
    </row>
    <row r="51" spans="23:25" ht="14.15" customHeight="1">
      <c r="W51" s="861"/>
      <c r="X51" s="861"/>
      <c r="Y51" s="861"/>
    </row>
  </sheetData>
  <sheetProtection algorithmName="SHA-512" hashValue="RWONqdPqIhN1L6nH0ZoFU6TELouCVkoXJaE8wl2gFbs73T7lnatDIBpuBeUX30mb6VGGwDTSEOr5CYCeSzep5Q==" saltValue="DgRvDl5H0XQep1JynMW8Yw==" spinCount="100000" sheet="1" objects="1" scenarios="1"/>
  <dataConsolidate/>
  <mergeCells count="4">
    <mergeCell ref="L3:N3"/>
    <mergeCell ref="W46:W51"/>
    <mergeCell ref="X46:X51"/>
    <mergeCell ref="Y46:Y51"/>
  </mergeCells>
  <dataValidations count="2">
    <dataValidation type="list" allowBlank="1" showInputMessage="1" showErrorMessage="1" sqref="M16" xr:uid="{00000000-0002-0000-0900-000000000000}">
      <formula1>"A,B,C,D"</formula1>
    </dataValidation>
    <dataValidation type="list" allowBlank="1" showInputMessage="1" showErrorMessage="1" sqref="L3" xr:uid="{00000000-0002-0000-0900-000001000000}">
      <formula1>serie</formula1>
    </dataValidation>
  </dataValidations>
  <pageMargins left="0.74803149606299213" right="0.74803149606299213" top="0.98425196850393704" bottom="0.98425196850393704" header="0.51181102362204722" footer="0.51181102362204722"/>
  <pageSetup paperSize="9" scale="72"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P66"/>
  <sheetViews>
    <sheetView showGridLines="0" workbookViewId="0">
      <selection activeCell="K9" sqref="K9:K23"/>
    </sheetView>
  </sheetViews>
  <sheetFormatPr defaultColWidth="9.08984375" defaultRowHeight="12.5"/>
  <cols>
    <col min="1" max="1" width="5.54296875" style="611" customWidth="1"/>
    <col min="2" max="2" width="12.36328125" style="611" customWidth="1"/>
    <col min="3" max="3" width="11.54296875" style="611" bestFit="1" customWidth="1"/>
    <col min="4" max="4" width="5.453125" style="611" bestFit="1" customWidth="1"/>
    <col min="5" max="5" width="12" style="611" bestFit="1" customWidth="1"/>
    <col min="6" max="6" width="14.08984375" style="611" bestFit="1" customWidth="1"/>
    <col min="7" max="7" width="15.08984375" style="611" bestFit="1" customWidth="1"/>
    <col min="8" max="8" width="12.453125" style="611" bestFit="1" customWidth="1"/>
    <col min="9" max="9" width="5.36328125" style="611" customWidth="1"/>
    <col min="10" max="10" width="3.90625" style="611" customWidth="1"/>
    <col min="11" max="11" width="31.54296875" style="611" bestFit="1" customWidth="1"/>
    <col min="12" max="12" width="9.54296875" style="611" bestFit="1" customWidth="1"/>
    <col min="13" max="13" width="9.08984375" style="611"/>
    <col min="14" max="14" width="5.6328125" style="611" customWidth="1"/>
    <col min="15" max="16384" width="9.08984375" style="611"/>
  </cols>
  <sheetData>
    <row r="1" spans="1:16" ht="14">
      <c r="B1" s="612" t="s">
        <v>923</v>
      </c>
      <c r="C1" s="612"/>
      <c r="D1" s="612"/>
      <c r="E1" s="612"/>
      <c r="K1" s="613" t="s">
        <v>884</v>
      </c>
      <c r="L1" s="614" t="s">
        <v>924</v>
      </c>
    </row>
    <row r="2" spans="1:16" ht="14">
      <c r="B2" s="615" t="s">
        <v>925</v>
      </c>
      <c r="C2" s="615" t="s">
        <v>926</v>
      </c>
      <c r="D2" s="615" t="s">
        <v>927</v>
      </c>
      <c r="E2" s="615" t="s">
        <v>928</v>
      </c>
      <c r="F2" s="616" t="s">
        <v>929</v>
      </c>
      <c r="G2" s="617" t="s">
        <v>930</v>
      </c>
      <c r="H2" s="617" t="s">
        <v>931</v>
      </c>
      <c r="K2" s="613" t="s">
        <v>932</v>
      </c>
      <c r="L2" s="614" t="s">
        <v>933</v>
      </c>
    </row>
    <row r="3" spans="1:16" ht="14">
      <c r="B3" s="618" t="s">
        <v>934</v>
      </c>
      <c r="C3" s="618" t="s">
        <v>935</v>
      </c>
      <c r="D3" s="618" t="s">
        <v>935</v>
      </c>
      <c r="E3" s="618" t="s">
        <v>935</v>
      </c>
      <c r="F3" s="619" t="s">
        <v>936</v>
      </c>
      <c r="G3" s="620" t="s">
        <v>937</v>
      </c>
      <c r="H3" s="620" t="s">
        <v>938</v>
      </c>
      <c r="K3" s="613" t="s">
        <v>939</v>
      </c>
      <c r="L3" s="614" t="s">
        <v>940</v>
      </c>
    </row>
    <row r="4" spans="1:16" ht="14">
      <c r="B4" s="621" t="s">
        <v>941</v>
      </c>
      <c r="C4" s="621" t="s">
        <v>941</v>
      </c>
      <c r="D4" s="621" t="s">
        <v>941</v>
      </c>
      <c r="E4" s="621" t="s">
        <v>941</v>
      </c>
      <c r="F4" s="615" t="s">
        <v>942</v>
      </c>
      <c r="G4" s="620" t="s">
        <v>943</v>
      </c>
      <c r="H4" s="620" t="s">
        <v>944</v>
      </c>
      <c r="K4" s="613" t="s">
        <v>945</v>
      </c>
      <c r="L4" s="614" t="s">
        <v>946</v>
      </c>
    </row>
    <row r="5" spans="1:16" ht="13">
      <c r="A5" s="611">
        <v>1</v>
      </c>
      <c r="B5" s="622" t="str">
        <f>B25</f>
        <v>OA-1</v>
      </c>
      <c r="C5" s="622">
        <f t="shared" ref="C5:H5" si="0">C25</f>
        <v>1</v>
      </c>
      <c r="D5" s="622">
        <f t="shared" si="0"/>
        <v>1</v>
      </c>
      <c r="E5" s="622">
        <f t="shared" si="0"/>
        <v>1</v>
      </c>
      <c r="F5" s="622">
        <f t="shared" si="0"/>
        <v>153250</v>
      </c>
      <c r="G5" s="622">
        <f t="shared" si="0"/>
        <v>800</v>
      </c>
      <c r="H5" s="622">
        <f t="shared" si="0"/>
        <v>435</v>
      </c>
      <c r="K5" s="623" t="str">
        <f>NOISE_AUTO!L3</f>
        <v>Series “N” UPRATED in production</v>
      </c>
      <c r="L5" s="623" t="str">
        <f>INDEX(L1:L4,MATCH(K5,serie,0))</f>
        <v>serie_NU</v>
      </c>
    </row>
    <row r="6" spans="1:16" ht="13">
      <c r="A6" s="611">
        <v>2</v>
      </c>
      <c r="B6" s="622" t="s">
        <v>886</v>
      </c>
      <c r="C6" s="622">
        <v>2</v>
      </c>
      <c r="D6" s="622">
        <v>2</v>
      </c>
      <c r="E6" s="622">
        <v>4</v>
      </c>
      <c r="F6" s="622">
        <v>210915</v>
      </c>
      <c r="G6" s="622">
        <v>1000</v>
      </c>
      <c r="H6" s="622">
        <v>530</v>
      </c>
      <c r="K6" s="624"/>
      <c r="L6" s="624"/>
    </row>
    <row r="7" spans="1:16" ht="13">
      <c r="A7" s="611">
        <v>3</v>
      </c>
      <c r="B7" s="622" t="s">
        <v>947</v>
      </c>
      <c r="C7" s="622">
        <v>2</v>
      </c>
      <c r="D7" s="622">
        <v>2</v>
      </c>
      <c r="E7" s="622">
        <v>6</v>
      </c>
      <c r="F7" s="622">
        <v>302150</v>
      </c>
      <c r="G7" s="622">
        <v>800</v>
      </c>
      <c r="H7" s="622">
        <v>920</v>
      </c>
    </row>
    <row r="8" spans="1:16" ht="13">
      <c r="A8" s="611">
        <v>4</v>
      </c>
      <c r="B8" s="622" t="s">
        <v>948</v>
      </c>
      <c r="C8" s="622">
        <v>2</v>
      </c>
      <c r="D8" s="622">
        <v>2</v>
      </c>
      <c r="E8" s="622">
        <v>8</v>
      </c>
      <c r="F8" s="622">
        <v>434280</v>
      </c>
      <c r="G8" s="622">
        <v>700</v>
      </c>
      <c r="H8" s="622">
        <v>1300</v>
      </c>
      <c r="L8" s="625" t="s">
        <v>949</v>
      </c>
      <c r="M8" s="625" t="s">
        <v>950</v>
      </c>
      <c r="O8" s="626" t="s">
        <v>951</v>
      </c>
      <c r="P8" s="626" t="s">
        <v>952</v>
      </c>
    </row>
    <row r="9" spans="1:16" ht="13">
      <c r="A9" s="611">
        <v>5</v>
      </c>
      <c r="B9" s="622" t="s">
        <v>953</v>
      </c>
      <c r="C9" s="622">
        <v>2</v>
      </c>
      <c r="D9" s="622">
        <v>2</v>
      </c>
      <c r="E9" s="622">
        <v>10</v>
      </c>
      <c r="F9" s="622">
        <v>658020</v>
      </c>
      <c r="G9" s="622">
        <v>600</v>
      </c>
      <c r="H9" s="622">
        <v>2150</v>
      </c>
      <c r="J9" s="611">
        <v>0</v>
      </c>
      <c r="K9" s="627" t="str">
        <f>B5</f>
        <v>OA-1</v>
      </c>
      <c r="L9" s="627">
        <f>G5</f>
        <v>800</v>
      </c>
      <c r="M9" s="627">
        <f>H5</f>
        <v>435</v>
      </c>
      <c r="O9" s="646" t="str">
        <f>NOISE_AUTO!L5</f>
        <v>HE-2</v>
      </c>
      <c r="P9" s="628">
        <f>VLOOKUP($O$9,$B$6:$E$66,2,FALSE)</f>
        <v>2</v>
      </c>
    </row>
    <row r="10" spans="1:16" ht="13">
      <c r="A10" s="611">
        <v>6</v>
      </c>
      <c r="B10" s="622" t="s">
        <v>954</v>
      </c>
      <c r="C10" s="622">
        <v>2</v>
      </c>
      <c r="D10" s="622">
        <v>2</v>
      </c>
      <c r="E10" s="622">
        <v>10</v>
      </c>
      <c r="F10" s="622">
        <v>1026510</v>
      </c>
      <c r="G10" s="622">
        <v>470</v>
      </c>
      <c r="H10" s="622">
        <v>2850</v>
      </c>
      <c r="J10" s="611">
        <v>1</v>
      </c>
      <c r="K10" s="627" t="str">
        <f t="shared" ref="K10:K21" ca="1" si="1">IF(ISERROR(INDEX(INDIRECT($L$5&amp;"_tab"),J10,1)),"",INDEX(INDIRECT($L$5&amp;"_tab"),J10,1))</f>
        <v>HA-2</v>
      </c>
      <c r="L10" s="627">
        <f t="shared" ref="L10:L21" ca="1" si="2">IF(ISERROR(INDEX(INDIRECT($L$5&amp;"_tab"),J10,6)),"",INDEX(INDIRECT($L$5&amp;"_tab"),J10,6))</f>
        <v>1000</v>
      </c>
      <c r="M10" s="627">
        <f t="shared" ref="M10:M21" ca="1" si="3">IF(ISERROR(INDEX(INDIRECT($L$5&amp;"_tab"),J10,7)),"",INDEX(INDIRECT($L$5&amp;"_tab"),J10,7))</f>
        <v>530</v>
      </c>
      <c r="P10" s="628">
        <f t="shared" ref="P10:P17" si="4">IF(P9="","",IF(P9+VLOOKUP($O$9,$B$6:$E$66,3,FALSE)&gt;VLOOKUP($O$9,$B$6:$E$66,4,FALSE),"",P9+VLOOKUP($O$9,$B$6:$E$66,3,FALSE)))</f>
        <v>4</v>
      </c>
    </row>
    <row r="11" spans="1:16" ht="13">
      <c r="A11" s="611">
        <v>7</v>
      </c>
      <c r="B11" s="622" t="s">
        <v>955</v>
      </c>
      <c r="C11" s="622">
        <v>2</v>
      </c>
      <c r="D11" s="622">
        <v>2</v>
      </c>
      <c r="E11" s="622">
        <v>10</v>
      </c>
      <c r="F11" s="622">
        <v>1342000</v>
      </c>
      <c r="G11" s="622">
        <v>514</v>
      </c>
      <c r="H11" s="622">
        <v>3460</v>
      </c>
      <c r="J11" s="611">
        <v>2</v>
      </c>
      <c r="K11" s="627" t="str">
        <f t="shared" ca="1" si="1"/>
        <v>HB-2</v>
      </c>
      <c r="L11" s="627">
        <f t="shared" ca="1" si="2"/>
        <v>800</v>
      </c>
      <c r="M11" s="627">
        <f t="shared" ca="1" si="3"/>
        <v>920</v>
      </c>
      <c r="P11" s="628">
        <f t="shared" si="4"/>
        <v>6</v>
      </c>
    </row>
    <row r="12" spans="1:16" ht="13">
      <c r="A12" s="611">
        <v>8</v>
      </c>
      <c r="B12" s="622" t="s">
        <v>956</v>
      </c>
      <c r="C12" s="622">
        <v>2</v>
      </c>
      <c r="D12" s="622">
        <v>2</v>
      </c>
      <c r="E12" s="622">
        <v>10</v>
      </c>
      <c r="F12" s="622">
        <v>1600000</v>
      </c>
      <c r="G12" s="622">
        <v>514</v>
      </c>
      <c r="H12" s="622">
        <v>4100</v>
      </c>
      <c r="J12" s="611">
        <v>3</v>
      </c>
      <c r="K12" s="627" t="str">
        <f t="shared" ca="1" si="1"/>
        <v>HD-2</v>
      </c>
      <c r="L12" s="627">
        <f t="shared" ca="1" si="2"/>
        <v>700</v>
      </c>
      <c r="M12" s="627">
        <f t="shared" ca="1" si="3"/>
        <v>1300</v>
      </c>
      <c r="P12" s="628">
        <f t="shared" si="4"/>
        <v>8</v>
      </c>
    </row>
    <row r="13" spans="1:16" ht="13">
      <c r="A13" s="611">
        <v>9</v>
      </c>
      <c r="B13" s="622" t="s">
        <v>957</v>
      </c>
      <c r="C13" s="622">
        <v>2</v>
      </c>
      <c r="D13" s="622">
        <v>2</v>
      </c>
      <c r="E13" s="622">
        <v>10</v>
      </c>
      <c r="F13" s="622">
        <v>2083077</v>
      </c>
      <c r="G13" s="622">
        <v>400</v>
      </c>
      <c r="H13" s="622">
        <v>5200</v>
      </c>
      <c r="J13" s="611">
        <v>4</v>
      </c>
      <c r="K13" s="627" t="str">
        <f t="shared" ca="1" si="1"/>
        <v>HE-2</v>
      </c>
      <c r="L13" s="627">
        <f t="shared" ca="1" si="2"/>
        <v>600</v>
      </c>
      <c r="M13" s="627">
        <f t="shared" ca="1" si="3"/>
        <v>2150</v>
      </c>
      <c r="P13" s="628">
        <f t="shared" si="4"/>
        <v>10</v>
      </c>
    </row>
    <row r="14" spans="1:16" ht="13">
      <c r="A14" s="611">
        <v>10</v>
      </c>
      <c r="B14" s="622" t="s">
        <v>958</v>
      </c>
      <c r="C14" s="622">
        <v>2</v>
      </c>
      <c r="D14" s="622">
        <v>2</v>
      </c>
      <c r="E14" s="622">
        <v>6</v>
      </c>
      <c r="F14" s="622">
        <v>532683</v>
      </c>
      <c r="G14" s="622">
        <v>1200</v>
      </c>
      <c r="H14" s="622">
        <v>1330</v>
      </c>
      <c r="J14" s="611">
        <v>5</v>
      </c>
      <c r="K14" s="627" t="str">
        <f t="shared" ca="1" si="1"/>
        <v>HF-2</v>
      </c>
      <c r="L14" s="627">
        <f t="shared" ca="1" si="2"/>
        <v>470</v>
      </c>
      <c r="M14" s="627">
        <f t="shared" ca="1" si="3"/>
        <v>2850</v>
      </c>
      <c r="P14" s="628" t="str">
        <f t="shared" si="4"/>
        <v/>
      </c>
    </row>
    <row r="15" spans="1:16" ht="13">
      <c r="A15" s="611">
        <v>11</v>
      </c>
      <c r="B15" s="622" t="s">
        <v>959</v>
      </c>
      <c r="C15" s="622">
        <v>2</v>
      </c>
      <c r="D15" s="622">
        <v>2</v>
      </c>
      <c r="E15" s="622">
        <v>4</v>
      </c>
      <c r="F15" s="622">
        <v>532683</v>
      </c>
      <c r="G15" s="622">
        <v>1200</v>
      </c>
      <c r="H15" s="622">
        <v>1330</v>
      </c>
      <c r="J15" s="611">
        <v>6</v>
      </c>
      <c r="K15" s="627" t="str">
        <f t="shared" ca="1" si="1"/>
        <v>HF-3</v>
      </c>
      <c r="L15" s="627">
        <f t="shared" ca="1" si="2"/>
        <v>514</v>
      </c>
      <c r="M15" s="627">
        <f t="shared" ca="1" si="3"/>
        <v>3460</v>
      </c>
      <c r="P15" s="628" t="str">
        <f t="shared" si="4"/>
        <v/>
      </c>
    </row>
    <row r="16" spans="1:16" ht="13">
      <c r="A16" s="611">
        <v>12</v>
      </c>
      <c r="B16" s="622" t="s">
        <v>960</v>
      </c>
      <c r="C16" s="622">
        <v>2</v>
      </c>
      <c r="D16" s="622">
        <v>2</v>
      </c>
      <c r="E16" s="622">
        <v>6</v>
      </c>
      <c r="F16" s="622">
        <v>872000</v>
      </c>
      <c r="G16" s="622">
        <v>800</v>
      </c>
      <c r="H16" s="622">
        <v>2550</v>
      </c>
      <c r="J16" s="611">
        <v>7</v>
      </c>
      <c r="K16" s="627" t="str">
        <f t="shared" ca="1" si="1"/>
        <v>HG-2</v>
      </c>
      <c r="L16" s="627">
        <f t="shared" ca="1" si="2"/>
        <v>514</v>
      </c>
      <c r="M16" s="627">
        <f t="shared" ca="1" si="3"/>
        <v>4100</v>
      </c>
      <c r="P16" s="628" t="str">
        <f t="shared" si="4"/>
        <v/>
      </c>
    </row>
    <row r="17" spans="1:16" ht="13">
      <c r="A17" s="611">
        <v>13</v>
      </c>
      <c r="B17" s="622" t="s">
        <v>961</v>
      </c>
      <c r="C17" s="622">
        <v>2</v>
      </c>
      <c r="D17" s="622">
        <v>1</v>
      </c>
      <c r="E17" s="622">
        <v>6</v>
      </c>
      <c r="F17" s="622">
        <v>3200000</v>
      </c>
      <c r="G17" s="622">
        <v>310</v>
      </c>
      <c r="H17" s="622">
        <v>6000</v>
      </c>
      <c r="J17" s="611">
        <v>8</v>
      </c>
      <c r="K17" s="627" t="str">
        <f t="shared" ca="1" si="1"/>
        <v>HG-3</v>
      </c>
      <c r="L17" s="627">
        <f t="shared" ca="1" si="2"/>
        <v>400</v>
      </c>
      <c r="M17" s="627">
        <f t="shared" ca="1" si="3"/>
        <v>5200</v>
      </c>
      <c r="P17" s="628" t="str">
        <f t="shared" si="4"/>
        <v/>
      </c>
    </row>
    <row r="18" spans="1:16">
      <c r="J18" s="611">
        <v>9</v>
      </c>
      <c r="K18" s="627" t="str">
        <f t="shared" ca="1" si="1"/>
        <v>SHM-3</v>
      </c>
      <c r="L18" s="627">
        <f t="shared" ca="1" si="2"/>
        <v>1200</v>
      </c>
      <c r="M18" s="627">
        <f t="shared" ca="1" si="3"/>
        <v>1330</v>
      </c>
    </row>
    <row r="19" spans="1:16" ht="14">
      <c r="B19" s="612" t="s">
        <v>962</v>
      </c>
      <c r="C19" s="612"/>
      <c r="D19" s="612"/>
      <c r="E19" s="612"/>
      <c r="J19" s="611">
        <v>10</v>
      </c>
      <c r="K19" s="627" t="str">
        <f t="shared" ca="1" si="1"/>
        <v>SHMB-3</v>
      </c>
      <c r="L19" s="627">
        <f t="shared" ca="1" si="2"/>
        <v>1200</v>
      </c>
      <c r="M19" s="627">
        <f t="shared" ca="1" si="3"/>
        <v>1330</v>
      </c>
    </row>
    <row r="20" spans="1:16" ht="13">
      <c r="B20" s="615" t="str">
        <f>B$2</f>
        <v>TIPO</v>
      </c>
      <c r="C20" s="615" t="str">
        <f t="shared" ref="C20:H20" si="5">C$2</f>
        <v>MIN. NUMERO</v>
      </c>
      <c r="D20" s="615" t="str">
        <f t="shared" si="5"/>
        <v>STEP</v>
      </c>
      <c r="E20" s="615" t="str">
        <f t="shared" si="5"/>
        <v>MAX. NUMERO</v>
      </c>
      <c r="F20" s="616" t="str">
        <f t="shared" si="5"/>
        <v>SPINTE</v>
      </c>
      <c r="G20" s="617" t="str">
        <f t="shared" si="5"/>
        <v>MAX. VELOCITA’ DI</v>
      </c>
      <c r="H20" s="617" t="str">
        <f t="shared" si="5"/>
        <v>MAX. POTENZA</v>
      </c>
      <c r="J20" s="611">
        <v>11</v>
      </c>
      <c r="K20" s="627" t="str">
        <f t="shared" ca="1" si="1"/>
        <v>HE-S</v>
      </c>
      <c r="L20" s="627">
        <f t="shared" ca="1" si="2"/>
        <v>800</v>
      </c>
      <c r="M20" s="627">
        <f t="shared" ca="1" si="3"/>
        <v>2550</v>
      </c>
    </row>
    <row r="21" spans="1:16" ht="13">
      <c r="B21" s="618" t="str">
        <f>B$3</f>
        <v>INCASTELL.</v>
      </c>
      <c r="C21" s="618" t="str">
        <f t="shared" ref="C21:H21" si="6">C$3</f>
        <v>COLLI</v>
      </c>
      <c r="D21" s="618" t="str">
        <f t="shared" si="6"/>
        <v>COLLI</v>
      </c>
      <c r="E21" s="618" t="str">
        <f t="shared" si="6"/>
        <v>COLLI</v>
      </c>
      <c r="F21" s="619" t="str">
        <f t="shared" si="6"/>
        <v>AMMISSIBILI [N]</v>
      </c>
      <c r="G21" s="620" t="str">
        <f t="shared" si="6"/>
        <v>ROTAZIONE</v>
      </c>
      <c r="H21" s="620" t="str">
        <f t="shared" si="6"/>
        <v>PER COLLO</v>
      </c>
      <c r="J21" s="611">
        <v>12</v>
      </c>
      <c r="K21" s="627" t="str">
        <f t="shared" ca="1" si="1"/>
        <v>PK-3</v>
      </c>
      <c r="L21" s="627">
        <f t="shared" ca="1" si="2"/>
        <v>310</v>
      </c>
      <c r="M21" s="627">
        <f t="shared" ca="1" si="3"/>
        <v>6000</v>
      </c>
    </row>
    <row r="22" spans="1:16" ht="13">
      <c r="B22" s="621" t="str">
        <f>B$4</f>
        <v xml:space="preserve"> </v>
      </c>
      <c r="C22" s="621" t="str">
        <f t="shared" ref="C22:H22" si="7">C$4</f>
        <v xml:space="preserve"> </v>
      </c>
      <c r="D22" s="621" t="str">
        <f t="shared" si="7"/>
        <v xml:space="preserve"> </v>
      </c>
      <c r="E22" s="621" t="str">
        <f t="shared" si="7"/>
        <v xml:space="preserve"> </v>
      </c>
      <c r="F22" s="615" t="str">
        <f t="shared" si="7"/>
        <v>GAS</v>
      </c>
      <c r="G22" s="620" t="str">
        <f t="shared" si="7"/>
        <v>[giri/1’]</v>
      </c>
      <c r="H22" s="620" t="str">
        <f t="shared" si="7"/>
        <v>[kW]</v>
      </c>
      <c r="J22" s="611">
        <v>13</v>
      </c>
      <c r="K22" s="627" t="str">
        <f>B47</f>
        <v>HM-1</v>
      </c>
      <c r="L22" s="627">
        <f>G47</f>
        <v>1200</v>
      </c>
      <c r="M22" s="627">
        <f>H47</f>
        <v>600</v>
      </c>
    </row>
    <row r="23" spans="1:16" ht="13">
      <c r="A23" s="611">
        <v>1</v>
      </c>
      <c r="B23" s="622" t="s">
        <v>963</v>
      </c>
      <c r="C23" s="629">
        <v>2</v>
      </c>
      <c r="D23" s="629">
        <v>2</v>
      </c>
      <c r="E23" s="629">
        <v>2</v>
      </c>
      <c r="F23" s="629">
        <v>26300</v>
      </c>
      <c r="G23" s="629">
        <v>1200</v>
      </c>
      <c r="H23" s="629">
        <v>67</v>
      </c>
      <c r="J23" s="611">
        <v>14</v>
      </c>
      <c r="K23" s="627" t="str">
        <f>B24</f>
        <v>BVTN-2</v>
      </c>
      <c r="L23" s="627">
        <f>G24</f>
        <v>1000</v>
      </c>
      <c r="M23" s="627">
        <f>H24</f>
        <v>200</v>
      </c>
    </row>
    <row r="24" spans="1:16" ht="13">
      <c r="A24" s="611">
        <v>2</v>
      </c>
      <c r="B24" s="630" t="s">
        <v>964</v>
      </c>
      <c r="C24" s="631">
        <v>1</v>
      </c>
      <c r="D24" s="631">
        <v>1</v>
      </c>
      <c r="E24" s="631">
        <v>4</v>
      </c>
      <c r="F24" s="631">
        <v>85000</v>
      </c>
      <c r="G24" s="631">
        <v>1000</v>
      </c>
      <c r="H24" s="631">
        <v>200</v>
      </c>
      <c r="J24" s="611" t="str">
        <f>IF($L$5=$L$3,J23+1,"")</f>
        <v/>
      </c>
      <c r="K24" s="628" t="str">
        <f ca="1">IF(ISERROR(INDEX(INDIRECT($L$5&amp;"_tab"),J24,1)),"",INDEX(INDIRECT($L$5&amp;"_tab"),J24,1))</f>
        <v/>
      </c>
      <c r="L24" s="628" t="str">
        <f ca="1">IF(ISERROR(INDEX(INDIRECT($L$5&amp;"_tab"),J24,6)),"",INDEX(INDIRECT($L$5&amp;"_tab"),J24,6))</f>
        <v/>
      </c>
      <c r="M24" s="628" t="str">
        <f ca="1">IF(ISERROR(INDEX(INDIRECT($L$5&amp;"_tab"),J24,7)),"",INDEX(INDIRECT($L$5&amp;"_tab"),J24,7))</f>
        <v/>
      </c>
    </row>
    <row r="25" spans="1:16" ht="13">
      <c r="A25" s="611">
        <v>3</v>
      </c>
      <c r="B25" s="630" t="s">
        <v>965</v>
      </c>
      <c r="C25" s="631">
        <v>1</v>
      </c>
      <c r="D25" s="631">
        <v>1</v>
      </c>
      <c r="E25" s="631">
        <v>1</v>
      </c>
      <c r="F25" s="631">
        <v>153250</v>
      </c>
      <c r="G25" s="631">
        <v>800</v>
      </c>
      <c r="H25" s="631">
        <v>435</v>
      </c>
      <c r="J25" s="611" t="str">
        <f>IF($L$5=$L$3,J24+1,"")</f>
        <v/>
      </c>
      <c r="K25" s="628" t="str">
        <f ca="1">IF(ISERROR(INDEX(INDIRECT($L$5&amp;"_tab"),J25,1)),"",INDEX(INDIRECT($L$5&amp;"_tab"),J25,1))</f>
        <v/>
      </c>
      <c r="L25" s="628" t="str">
        <f ca="1">IF(ISERROR(INDEX(INDIRECT($L$5&amp;"_tab"),J25,6)),"",INDEX(INDIRECT($L$5&amp;"_tab"),J25,6))</f>
        <v/>
      </c>
      <c r="M25" s="628" t="str">
        <f ca="1">IF(ISERROR(INDEX(INDIRECT($L$5&amp;"_tab"),J25,7)),"",INDEX(INDIRECT($L$5&amp;"_tab"),J25,7))</f>
        <v/>
      </c>
    </row>
    <row r="26" spans="1:16" ht="13">
      <c r="A26" s="611">
        <v>4</v>
      </c>
      <c r="B26" s="630" t="s">
        <v>966</v>
      </c>
      <c r="C26" s="630">
        <v>2</v>
      </c>
      <c r="D26" s="630">
        <v>1</v>
      </c>
      <c r="E26" s="622">
        <v>6</v>
      </c>
      <c r="F26" s="622">
        <v>3200000</v>
      </c>
      <c r="G26" s="622">
        <v>310</v>
      </c>
      <c r="H26" s="622">
        <v>5000</v>
      </c>
      <c r="J26" s="611" t="str">
        <f>IF($L$5=$L$3,J25+1,"")</f>
        <v/>
      </c>
      <c r="K26" s="628" t="str">
        <f ca="1">IF(ISERROR(INDEX(INDIRECT($L$5&amp;"_tab"),J26,1)),"",INDEX(INDIRECT($L$5&amp;"_tab"),J26,1))</f>
        <v/>
      </c>
      <c r="L26" s="628" t="str">
        <f ca="1">IF(ISERROR(INDEX(INDIRECT($L$5&amp;"_tab"),J26,6)),"",INDEX(INDIRECT($L$5&amp;"_tab"),J26,6))</f>
        <v/>
      </c>
      <c r="M26" s="628" t="str">
        <f ca="1">IF(ISERROR(INDEX(INDIRECT($L$5&amp;"_tab"),J26,7)),"",INDEX(INDIRECT($L$5&amp;"_tab"),J26,7))</f>
        <v/>
      </c>
    </row>
    <row r="27" spans="1:16" ht="13">
      <c r="A27" s="611">
        <v>5</v>
      </c>
      <c r="B27" s="630" t="s">
        <v>967</v>
      </c>
      <c r="C27" s="630">
        <v>2</v>
      </c>
      <c r="D27" s="630">
        <v>1</v>
      </c>
      <c r="E27" s="622">
        <v>4</v>
      </c>
      <c r="F27" s="622">
        <v>1600000</v>
      </c>
      <c r="G27" s="622">
        <v>310</v>
      </c>
      <c r="H27" s="622">
        <v>3000</v>
      </c>
    </row>
    <row r="28" spans="1:16" ht="13">
      <c r="B28" s="632"/>
      <c r="C28" s="632"/>
      <c r="D28" s="632"/>
      <c r="E28" s="632"/>
      <c r="F28" s="632"/>
      <c r="G28" s="632"/>
      <c r="H28" s="632"/>
    </row>
    <row r="30" spans="1:16" ht="14">
      <c r="B30" s="612" t="s">
        <v>968</v>
      </c>
      <c r="C30" s="612"/>
      <c r="D30" s="612"/>
      <c r="E30" s="612"/>
    </row>
    <row r="31" spans="1:16" ht="13">
      <c r="B31" s="615" t="str">
        <f>B$2</f>
        <v>TIPO</v>
      </c>
      <c r="C31" s="615" t="str">
        <f t="shared" ref="C31:H31" si="8">C$2</f>
        <v>MIN. NUMERO</v>
      </c>
      <c r="D31" s="615" t="str">
        <f t="shared" si="8"/>
        <v>STEP</v>
      </c>
      <c r="E31" s="615" t="str">
        <f t="shared" si="8"/>
        <v>MAX. NUMERO</v>
      </c>
      <c r="F31" s="616" t="str">
        <f t="shared" si="8"/>
        <v>SPINTE</v>
      </c>
      <c r="G31" s="617" t="str">
        <f t="shared" si="8"/>
        <v>MAX. VELOCITA’ DI</v>
      </c>
      <c r="H31" s="617" t="str">
        <f t="shared" si="8"/>
        <v>MAX. POTENZA</v>
      </c>
    </row>
    <row r="32" spans="1:16" ht="13">
      <c r="B32" s="618" t="str">
        <f>B$3</f>
        <v>INCASTELL.</v>
      </c>
      <c r="C32" s="618" t="str">
        <f t="shared" ref="C32:H32" si="9">C$3</f>
        <v>COLLI</v>
      </c>
      <c r="D32" s="618" t="str">
        <f t="shared" si="9"/>
        <v>COLLI</v>
      </c>
      <c r="E32" s="618" t="str">
        <f t="shared" si="9"/>
        <v>COLLI</v>
      </c>
      <c r="F32" s="619" t="str">
        <f t="shared" si="9"/>
        <v>AMMISSIBILI [N]</v>
      </c>
      <c r="G32" s="620" t="str">
        <f t="shared" si="9"/>
        <v>ROTAZIONE</v>
      </c>
      <c r="H32" s="620" t="str">
        <f t="shared" si="9"/>
        <v>PER COLLO</v>
      </c>
    </row>
    <row r="33" spans="1:8" ht="13">
      <c r="B33" s="621" t="str">
        <f>B$4</f>
        <v xml:space="preserve"> </v>
      </c>
      <c r="C33" s="621" t="str">
        <f t="shared" ref="C33:H33" si="10">C$4</f>
        <v xml:space="preserve"> </v>
      </c>
      <c r="D33" s="621" t="str">
        <f t="shared" si="10"/>
        <v xml:space="preserve"> </v>
      </c>
      <c r="E33" s="621" t="str">
        <f t="shared" si="10"/>
        <v xml:space="preserve"> </v>
      </c>
      <c r="F33" s="615" t="str">
        <f t="shared" si="10"/>
        <v>GAS</v>
      </c>
      <c r="G33" s="620" t="str">
        <f t="shared" si="10"/>
        <v>[giri/1’]</v>
      </c>
      <c r="H33" s="620" t="str">
        <f t="shared" si="10"/>
        <v>[kW]</v>
      </c>
    </row>
    <row r="34" spans="1:8" ht="13">
      <c r="A34" s="611">
        <v>1</v>
      </c>
      <c r="B34" s="622" t="s">
        <v>969</v>
      </c>
      <c r="C34" s="629">
        <v>1</v>
      </c>
      <c r="D34" s="629">
        <v>1</v>
      </c>
      <c r="E34" s="629">
        <v>4</v>
      </c>
      <c r="F34" s="629">
        <v>85000</v>
      </c>
      <c r="G34" s="629">
        <v>750</v>
      </c>
      <c r="H34" s="629">
        <v>185</v>
      </c>
    </row>
    <row r="35" spans="1:8" ht="13">
      <c r="A35" s="611">
        <v>2</v>
      </c>
      <c r="B35" s="630" t="s">
        <v>970</v>
      </c>
      <c r="C35" s="631">
        <v>1</v>
      </c>
      <c r="D35" s="631">
        <v>1</v>
      </c>
      <c r="E35" s="631">
        <v>1</v>
      </c>
      <c r="F35" s="631">
        <v>153250</v>
      </c>
      <c r="G35" s="631">
        <v>750</v>
      </c>
      <c r="H35" s="631">
        <v>410</v>
      </c>
    </row>
    <row r="36" spans="1:8" ht="13">
      <c r="A36" s="611">
        <v>3</v>
      </c>
      <c r="B36" s="630" t="s">
        <v>971</v>
      </c>
      <c r="C36" s="631">
        <v>1</v>
      </c>
      <c r="D36" s="631">
        <v>1</v>
      </c>
      <c r="E36" s="631">
        <v>1</v>
      </c>
      <c r="F36" s="631">
        <v>95000</v>
      </c>
      <c r="G36" s="631">
        <v>800</v>
      </c>
      <c r="H36" s="631">
        <v>200</v>
      </c>
    </row>
    <row r="37" spans="1:8" ht="13">
      <c r="A37" s="611">
        <v>4</v>
      </c>
      <c r="B37" s="630" t="s">
        <v>972</v>
      </c>
      <c r="C37" s="631">
        <v>1</v>
      </c>
      <c r="D37" s="631">
        <v>1</v>
      </c>
      <c r="E37" s="631">
        <v>1</v>
      </c>
      <c r="F37" s="631">
        <v>95000</v>
      </c>
      <c r="G37" s="631">
        <v>800</v>
      </c>
      <c r="H37" s="631">
        <v>200</v>
      </c>
    </row>
    <row r="38" spans="1:8" ht="13">
      <c r="A38" s="611">
        <v>5</v>
      </c>
      <c r="B38" s="630" t="s">
        <v>973</v>
      </c>
      <c r="C38" s="631">
        <v>1</v>
      </c>
      <c r="D38" s="631">
        <v>1</v>
      </c>
      <c r="E38" s="631">
        <v>1</v>
      </c>
      <c r="F38" s="631">
        <v>219000</v>
      </c>
      <c r="G38" s="631">
        <v>650</v>
      </c>
      <c r="H38" s="631">
        <v>700</v>
      </c>
    </row>
    <row r="39" spans="1:8" ht="13">
      <c r="A39" s="611">
        <v>6</v>
      </c>
      <c r="B39" s="630" t="s">
        <v>974</v>
      </c>
      <c r="C39" s="631">
        <v>2</v>
      </c>
      <c r="D39" s="631">
        <v>2</v>
      </c>
      <c r="E39" s="631">
        <v>2</v>
      </c>
      <c r="F39" s="631">
        <v>95000</v>
      </c>
      <c r="G39" s="631">
        <v>1500</v>
      </c>
      <c r="H39" s="631">
        <v>290</v>
      </c>
    </row>
    <row r="40" spans="1:8" ht="13">
      <c r="A40" s="611">
        <v>7</v>
      </c>
      <c r="B40" s="630" t="s">
        <v>975</v>
      </c>
      <c r="C40" s="631">
        <v>2</v>
      </c>
      <c r="D40" s="631">
        <v>2</v>
      </c>
      <c r="E40" s="631">
        <v>2</v>
      </c>
      <c r="F40" s="631">
        <v>95000</v>
      </c>
      <c r="G40" s="631">
        <v>1500</v>
      </c>
      <c r="H40" s="631">
        <v>290</v>
      </c>
    </row>
    <row r="41" spans="1:8" ht="13">
      <c r="A41" s="611">
        <v>8</v>
      </c>
      <c r="B41" s="630" t="s">
        <v>976</v>
      </c>
      <c r="C41" s="630">
        <v>2</v>
      </c>
      <c r="D41" s="630">
        <v>2</v>
      </c>
      <c r="E41" s="622">
        <v>4</v>
      </c>
      <c r="F41" s="631">
        <v>153250</v>
      </c>
      <c r="G41" s="631">
        <v>1000</v>
      </c>
      <c r="H41" s="631">
        <v>415</v>
      </c>
    </row>
    <row r="42" spans="1:8" ht="13">
      <c r="A42" s="611">
        <v>9</v>
      </c>
      <c r="B42" s="630" t="s">
        <v>977</v>
      </c>
      <c r="C42" s="630">
        <v>2</v>
      </c>
      <c r="D42" s="630">
        <v>2</v>
      </c>
      <c r="E42" s="622">
        <v>6</v>
      </c>
      <c r="F42" s="631">
        <v>219000</v>
      </c>
      <c r="G42" s="631">
        <v>800</v>
      </c>
      <c r="H42" s="631">
        <v>625</v>
      </c>
    </row>
    <row r="43" spans="1:8" ht="13">
      <c r="A43" s="611">
        <v>10</v>
      </c>
      <c r="B43" s="630" t="s">
        <v>978</v>
      </c>
      <c r="C43" s="630">
        <v>2</v>
      </c>
      <c r="D43" s="630">
        <v>2</v>
      </c>
      <c r="E43" s="622">
        <v>8</v>
      </c>
      <c r="F43" s="631">
        <v>338328</v>
      </c>
      <c r="G43" s="631">
        <v>700</v>
      </c>
      <c r="H43" s="631">
        <v>1180</v>
      </c>
    </row>
    <row r="44" spans="1:8" ht="13">
      <c r="A44" s="611">
        <v>11</v>
      </c>
      <c r="B44" s="630" t="s">
        <v>979</v>
      </c>
      <c r="C44" s="630">
        <v>2</v>
      </c>
      <c r="D44" s="630">
        <v>2</v>
      </c>
      <c r="E44" s="622">
        <v>10</v>
      </c>
      <c r="F44" s="631">
        <v>534460</v>
      </c>
      <c r="G44" s="631">
        <v>600</v>
      </c>
      <c r="H44" s="631">
        <v>1900</v>
      </c>
    </row>
    <row r="45" spans="1:8" ht="13">
      <c r="A45" s="611">
        <v>12</v>
      </c>
      <c r="B45" s="630" t="s">
        <v>980</v>
      </c>
      <c r="C45" s="630">
        <v>2</v>
      </c>
      <c r="D45" s="630">
        <v>2</v>
      </c>
      <c r="E45" s="622">
        <v>10</v>
      </c>
      <c r="F45" s="631">
        <v>847854</v>
      </c>
      <c r="G45" s="631">
        <v>450</v>
      </c>
      <c r="H45" s="631">
        <v>2500</v>
      </c>
    </row>
    <row r="46" spans="1:8" ht="13">
      <c r="A46" s="611">
        <v>13</v>
      </c>
      <c r="B46" s="630" t="s">
        <v>981</v>
      </c>
      <c r="C46" s="630">
        <v>2</v>
      </c>
      <c r="D46" s="630">
        <v>2</v>
      </c>
      <c r="E46" s="622">
        <v>10</v>
      </c>
      <c r="F46" s="631">
        <v>1450000</v>
      </c>
      <c r="G46" s="631">
        <v>450</v>
      </c>
      <c r="H46" s="631">
        <v>3600</v>
      </c>
    </row>
    <row r="47" spans="1:8" ht="13">
      <c r="A47" s="611">
        <v>14</v>
      </c>
      <c r="B47" s="630" t="s">
        <v>982</v>
      </c>
      <c r="C47" s="630">
        <v>2</v>
      </c>
      <c r="D47" s="630">
        <v>2</v>
      </c>
      <c r="E47" s="622">
        <v>6</v>
      </c>
      <c r="F47" s="631">
        <v>235358</v>
      </c>
      <c r="G47" s="631">
        <v>1200</v>
      </c>
      <c r="H47" s="631">
        <v>600</v>
      </c>
    </row>
    <row r="48" spans="1:8" ht="13">
      <c r="A48" s="611">
        <v>15</v>
      </c>
      <c r="B48" s="630" t="s">
        <v>983</v>
      </c>
      <c r="C48" s="630">
        <v>2</v>
      </c>
      <c r="D48" s="630">
        <v>2</v>
      </c>
      <c r="E48" s="622">
        <v>6</v>
      </c>
      <c r="F48" s="631">
        <v>431640</v>
      </c>
      <c r="G48" s="631">
        <v>1200</v>
      </c>
      <c r="H48" s="631">
        <v>1100</v>
      </c>
    </row>
    <row r="49" spans="1:8" ht="13">
      <c r="A49" s="611">
        <v>16</v>
      </c>
      <c r="B49" s="630" t="s">
        <v>984</v>
      </c>
      <c r="C49" s="630">
        <v>2</v>
      </c>
      <c r="D49" s="630">
        <v>2</v>
      </c>
      <c r="E49" s="622">
        <v>4</v>
      </c>
      <c r="F49" s="631">
        <v>431640</v>
      </c>
      <c r="G49" s="631">
        <v>1200</v>
      </c>
      <c r="H49" s="631">
        <v>1100</v>
      </c>
    </row>
    <row r="50" spans="1:8" ht="13">
      <c r="A50" s="611">
        <v>17</v>
      </c>
      <c r="B50" s="630" t="s">
        <v>985</v>
      </c>
      <c r="C50" s="630">
        <v>2</v>
      </c>
      <c r="D50" s="630">
        <v>2</v>
      </c>
      <c r="E50" s="622">
        <v>6</v>
      </c>
      <c r="F50" s="631">
        <v>431640</v>
      </c>
      <c r="G50" s="631">
        <v>1200</v>
      </c>
      <c r="H50" s="631">
        <v>1100</v>
      </c>
    </row>
    <row r="51" spans="1:8" ht="13">
      <c r="A51" s="611">
        <v>18</v>
      </c>
      <c r="B51" s="630" t="s">
        <v>986</v>
      </c>
      <c r="C51" s="630">
        <v>2</v>
      </c>
      <c r="D51" s="630">
        <v>2</v>
      </c>
      <c r="E51" s="622">
        <v>4</v>
      </c>
      <c r="F51" s="631">
        <v>431640</v>
      </c>
      <c r="G51" s="631">
        <v>1200</v>
      </c>
      <c r="H51" s="631">
        <v>1100</v>
      </c>
    </row>
    <row r="53" spans="1:8" ht="14">
      <c r="B53" s="612" t="s">
        <v>987</v>
      </c>
      <c r="C53" s="612"/>
      <c r="D53" s="612"/>
      <c r="E53" s="612"/>
    </row>
    <row r="54" spans="1:8" ht="13">
      <c r="B54" s="615" t="str">
        <f>B$2</f>
        <v>TIPO</v>
      </c>
      <c r="C54" s="615" t="str">
        <f t="shared" ref="C54:H54" si="11">C$2</f>
        <v>MIN. NUMERO</v>
      </c>
      <c r="D54" s="615" t="str">
        <f t="shared" si="11"/>
        <v>STEP</v>
      </c>
      <c r="E54" s="615" t="str">
        <f t="shared" si="11"/>
        <v>MAX. NUMERO</v>
      </c>
      <c r="F54" s="616" t="str">
        <f t="shared" si="11"/>
        <v>SPINTE</v>
      </c>
      <c r="G54" s="617" t="str">
        <f t="shared" si="11"/>
        <v>MAX. VELOCITA’ DI</v>
      </c>
      <c r="H54" s="617" t="str">
        <f t="shared" si="11"/>
        <v>MAX. POTENZA</v>
      </c>
    </row>
    <row r="55" spans="1:8" ht="13">
      <c r="B55" s="618" t="str">
        <f>B$3</f>
        <v>INCASTELL.</v>
      </c>
      <c r="C55" s="618" t="str">
        <f t="shared" ref="C55:H55" si="12">C$3</f>
        <v>COLLI</v>
      </c>
      <c r="D55" s="618" t="str">
        <f t="shared" si="12"/>
        <v>COLLI</v>
      </c>
      <c r="E55" s="618" t="str">
        <f t="shared" si="12"/>
        <v>COLLI</v>
      </c>
      <c r="F55" s="619" t="str">
        <f t="shared" si="12"/>
        <v>AMMISSIBILI [N]</v>
      </c>
      <c r="G55" s="620" t="str">
        <f t="shared" si="12"/>
        <v>ROTAZIONE</v>
      </c>
      <c r="H55" s="620" t="str">
        <f t="shared" si="12"/>
        <v>PER COLLO</v>
      </c>
    </row>
    <row r="56" spans="1:8" ht="13">
      <c r="B56" s="621" t="str">
        <f>B$4</f>
        <v xml:space="preserve"> </v>
      </c>
      <c r="C56" s="621" t="str">
        <f t="shared" ref="C56:H56" si="13">C$4</f>
        <v xml:space="preserve"> </v>
      </c>
      <c r="D56" s="621" t="str">
        <f t="shared" si="13"/>
        <v xml:space="preserve"> </v>
      </c>
      <c r="E56" s="621" t="str">
        <f t="shared" si="13"/>
        <v xml:space="preserve"> </v>
      </c>
      <c r="F56" s="615" t="str">
        <f t="shared" si="13"/>
        <v>GAS</v>
      </c>
      <c r="G56" s="620" t="str">
        <f t="shared" si="13"/>
        <v>[giri/1’]</v>
      </c>
      <c r="H56" s="620" t="str">
        <f t="shared" si="13"/>
        <v>[kW]</v>
      </c>
    </row>
    <row r="57" spans="1:8" ht="13">
      <c r="A57" s="611">
        <v>1</v>
      </c>
      <c r="B57" s="622" t="s">
        <v>988</v>
      </c>
      <c r="C57" s="629">
        <v>1</v>
      </c>
      <c r="D57" s="629">
        <v>1</v>
      </c>
      <c r="E57" s="629">
        <v>1</v>
      </c>
      <c r="F57" s="629">
        <v>107872</v>
      </c>
      <c r="G57" s="629">
        <v>650</v>
      </c>
      <c r="H57" s="629">
        <v>155</v>
      </c>
    </row>
    <row r="58" spans="1:8" ht="13">
      <c r="A58" s="611">
        <v>2</v>
      </c>
      <c r="B58" s="630" t="s">
        <v>989</v>
      </c>
      <c r="C58" s="631">
        <v>1</v>
      </c>
      <c r="D58" s="631">
        <v>1</v>
      </c>
      <c r="E58" s="631">
        <v>1</v>
      </c>
      <c r="F58" s="631">
        <v>245165</v>
      </c>
      <c r="G58" s="631">
        <v>450</v>
      </c>
      <c r="H58" s="631">
        <v>330</v>
      </c>
    </row>
    <row r="59" spans="1:8" ht="13">
      <c r="A59" s="611">
        <v>3</v>
      </c>
      <c r="B59" s="630" t="s">
        <v>990</v>
      </c>
      <c r="C59" s="631">
        <v>1</v>
      </c>
      <c r="D59" s="631">
        <v>1</v>
      </c>
      <c r="E59" s="631">
        <v>1</v>
      </c>
      <c r="F59" s="631">
        <v>245165</v>
      </c>
      <c r="G59" s="631">
        <v>450</v>
      </c>
      <c r="H59" s="631">
        <v>390</v>
      </c>
    </row>
    <row r="60" spans="1:8" ht="13">
      <c r="A60" s="611">
        <v>4</v>
      </c>
      <c r="B60" s="630" t="s">
        <v>991</v>
      </c>
      <c r="C60" s="630">
        <v>2</v>
      </c>
      <c r="D60" s="630">
        <v>2</v>
      </c>
      <c r="E60" s="622">
        <v>4</v>
      </c>
      <c r="F60" s="631">
        <v>127486</v>
      </c>
      <c r="G60" s="631">
        <v>900</v>
      </c>
      <c r="H60" s="631">
        <v>250</v>
      </c>
    </row>
    <row r="61" spans="1:8" ht="13">
      <c r="A61" s="611">
        <v>5</v>
      </c>
      <c r="B61" s="630" t="s">
        <v>992</v>
      </c>
      <c r="C61" s="630">
        <v>2</v>
      </c>
      <c r="D61" s="630">
        <v>2</v>
      </c>
      <c r="E61" s="622">
        <v>6</v>
      </c>
      <c r="F61" s="631">
        <v>166712</v>
      </c>
      <c r="G61" s="631">
        <v>730</v>
      </c>
      <c r="H61" s="631">
        <v>390</v>
      </c>
    </row>
    <row r="62" spans="1:8" ht="13">
      <c r="A62" s="611">
        <v>6</v>
      </c>
      <c r="B62" s="630" t="s">
        <v>993</v>
      </c>
      <c r="C62" s="630">
        <v>2</v>
      </c>
      <c r="D62" s="630">
        <v>1</v>
      </c>
      <c r="E62" s="622">
        <v>6</v>
      </c>
      <c r="F62" s="631">
        <v>294198</v>
      </c>
      <c r="G62" s="631">
        <v>500</v>
      </c>
      <c r="H62" s="631">
        <v>585</v>
      </c>
    </row>
    <row r="63" spans="1:8" ht="13">
      <c r="A63" s="611">
        <v>7</v>
      </c>
      <c r="B63" s="630" t="s">
        <v>994</v>
      </c>
      <c r="C63" s="630">
        <v>2</v>
      </c>
      <c r="D63" s="630">
        <v>1</v>
      </c>
      <c r="E63" s="622">
        <v>6</v>
      </c>
      <c r="F63" s="631">
        <v>333424</v>
      </c>
      <c r="G63" s="631">
        <v>500</v>
      </c>
      <c r="H63" s="631">
        <v>750</v>
      </c>
    </row>
    <row r="64" spans="1:8" ht="13">
      <c r="A64" s="611">
        <v>8</v>
      </c>
      <c r="B64" s="630" t="s">
        <v>995</v>
      </c>
      <c r="C64" s="630">
        <v>2</v>
      </c>
      <c r="D64" s="630">
        <v>1</v>
      </c>
      <c r="E64" s="622">
        <v>6</v>
      </c>
      <c r="F64" s="631">
        <v>421684</v>
      </c>
      <c r="G64" s="631">
        <v>450</v>
      </c>
      <c r="H64" s="631">
        <v>1000</v>
      </c>
    </row>
    <row r="65" spans="1:8" ht="13">
      <c r="A65" s="611">
        <v>9</v>
      </c>
      <c r="B65" s="630" t="s">
        <v>996</v>
      </c>
      <c r="C65" s="630">
        <v>2</v>
      </c>
      <c r="D65" s="630">
        <v>1</v>
      </c>
      <c r="E65" s="622">
        <v>10</v>
      </c>
      <c r="F65" s="631">
        <v>833561</v>
      </c>
      <c r="G65" s="631">
        <v>400</v>
      </c>
      <c r="H65" s="631">
        <v>2000</v>
      </c>
    </row>
    <row r="66" spans="1:8" ht="13">
      <c r="A66" s="611">
        <v>10</v>
      </c>
      <c r="B66" s="630" t="s">
        <v>997</v>
      </c>
      <c r="C66" s="631">
        <v>4</v>
      </c>
      <c r="D66" s="631">
        <v>2</v>
      </c>
      <c r="E66" s="631">
        <v>10</v>
      </c>
      <c r="F66" s="631">
        <v>1127759</v>
      </c>
      <c r="G66" s="631">
        <v>360</v>
      </c>
      <c r="H66" s="631">
        <v>2650</v>
      </c>
    </row>
  </sheetData>
  <sheetProtection algorithmName="SHA-512" hashValue="PGyvmOeElnRrOe05wcYnqnYcHLDqOp1U/KPE6rR3/JHCZJ/k4/TWY2DYxg8ZT0qgVMnwfyXJyI5yCOpauTVpdg==" saltValue="L20a7wwBUPUiYeXnzH+2hA==" spinCount="100000" sheet="1" objects="1" scenario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G11"/>
  <sheetViews>
    <sheetView workbookViewId="0">
      <selection activeCell="D4" sqref="D4"/>
    </sheetView>
  </sheetViews>
  <sheetFormatPr defaultColWidth="9.08984375" defaultRowHeight="12.5"/>
  <cols>
    <col min="1" max="1" width="13.90625" style="611" bestFit="1" customWidth="1"/>
    <col min="2" max="6" width="15.54296875" style="611" bestFit="1" customWidth="1"/>
    <col min="7" max="16384" width="9.08984375" style="611"/>
  </cols>
  <sheetData>
    <row r="1" spans="1:7" ht="13" thickBot="1">
      <c r="A1" s="635" t="s">
        <v>999</v>
      </c>
      <c r="B1" s="636"/>
      <c r="C1" s="862" t="s">
        <v>1000</v>
      </c>
      <c r="D1" s="863"/>
      <c r="E1" s="863"/>
      <c r="F1" s="863"/>
      <c r="G1" s="864"/>
    </row>
    <row r="2" spans="1:7">
      <c r="A2" s="636"/>
      <c r="B2" s="636"/>
      <c r="C2" s="636"/>
      <c r="D2" s="636"/>
      <c r="E2" s="636"/>
      <c r="F2" s="636"/>
    </row>
    <row r="3" spans="1:7" ht="13" thickBot="1">
      <c r="A3" s="636" t="s">
        <v>1006</v>
      </c>
      <c r="B3" s="636" t="s">
        <v>1001</v>
      </c>
      <c r="C3" s="636" t="s">
        <v>1002</v>
      </c>
      <c r="D3" s="636" t="s">
        <v>1003</v>
      </c>
      <c r="E3" s="636" t="s">
        <v>1004</v>
      </c>
      <c r="F3" s="636" t="s">
        <v>1005</v>
      </c>
    </row>
    <row r="4" spans="1:7">
      <c r="A4" s="636">
        <v>63</v>
      </c>
      <c r="B4" s="637">
        <v>77</v>
      </c>
      <c r="C4" s="638">
        <v>79</v>
      </c>
      <c r="D4" s="638">
        <v>81</v>
      </c>
      <c r="E4" s="638">
        <v>83</v>
      </c>
      <c r="F4" s="639">
        <v>85</v>
      </c>
    </row>
    <row r="5" spans="1:7">
      <c r="A5" s="636">
        <v>125</v>
      </c>
      <c r="B5" s="640">
        <v>78</v>
      </c>
      <c r="C5" s="641">
        <v>80</v>
      </c>
      <c r="D5" s="641">
        <v>82</v>
      </c>
      <c r="E5" s="641">
        <v>84</v>
      </c>
      <c r="F5" s="642">
        <v>86</v>
      </c>
    </row>
    <row r="6" spans="1:7">
      <c r="A6" s="636">
        <v>250</v>
      </c>
      <c r="B6" s="640">
        <v>77</v>
      </c>
      <c r="C6" s="641">
        <v>79</v>
      </c>
      <c r="D6" s="641">
        <v>81</v>
      </c>
      <c r="E6" s="641">
        <v>83</v>
      </c>
      <c r="F6" s="642">
        <v>85</v>
      </c>
    </row>
    <row r="7" spans="1:7">
      <c r="A7" s="636">
        <v>500</v>
      </c>
      <c r="B7" s="640">
        <v>74</v>
      </c>
      <c r="C7" s="641">
        <v>76</v>
      </c>
      <c r="D7" s="641">
        <v>78</v>
      </c>
      <c r="E7" s="641">
        <v>80</v>
      </c>
      <c r="F7" s="642">
        <v>82</v>
      </c>
    </row>
    <row r="8" spans="1:7">
      <c r="A8" s="636">
        <v>1000</v>
      </c>
      <c r="B8" s="640">
        <v>73</v>
      </c>
      <c r="C8" s="641">
        <v>74</v>
      </c>
      <c r="D8" s="641">
        <v>76</v>
      </c>
      <c r="E8" s="641">
        <v>78</v>
      </c>
      <c r="F8" s="642">
        <v>80</v>
      </c>
    </row>
    <row r="9" spans="1:7">
      <c r="A9" s="636">
        <v>2000</v>
      </c>
      <c r="B9" s="640">
        <v>69</v>
      </c>
      <c r="C9" s="641">
        <v>72</v>
      </c>
      <c r="D9" s="641">
        <v>73</v>
      </c>
      <c r="E9" s="641">
        <v>76</v>
      </c>
      <c r="F9" s="642">
        <v>78</v>
      </c>
    </row>
    <row r="10" spans="1:7">
      <c r="A10" s="636">
        <v>4000</v>
      </c>
      <c r="B10" s="640">
        <v>64</v>
      </c>
      <c r="C10" s="641">
        <v>67</v>
      </c>
      <c r="D10" s="641">
        <v>68</v>
      </c>
      <c r="E10" s="641">
        <v>70</v>
      </c>
      <c r="F10" s="642">
        <v>73</v>
      </c>
    </row>
    <row r="11" spans="1:7" ht="13" thickBot="1">
      <c r="A11" s="636">
        <v>8000</v>
      </c>
      <c r="B11" s="643">
        <v>56</v>
      </c>
      <c r="C11" s="644">
        <v>59</v>
      </c>
      <c r="D11" s="644">
        <v>60</v>
      </c>
      <c r="E11" s="644">
        <v>62</v>
      </c>
      <c r="F11" s="645">
        <v>65</v>
      </c>
    </row>
  </sheetData>
  <sheetProtection algorithmName="SHA-512" hashValue="F193cbuJgjUqG2BTmd8IQHZW3jyVS2QdyIw9tXccrg7eQMKUKffljUd/6bBYM9VKNKsugefZZuk2xI/FyBltqA==" saltValue="xsvatVXRGfsMgQOVX+Rd7Q==" spinCount="100000" sheet="1" objects="1" scenarios="1"/>
  <mergeCells count="1">
    <mergeCell ref="C1:G1"/>
  </mergeCell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dimension ref="A1:R317"/>
  <sheetViews>
    <sheetView topLeftCell="A13" zoomScale="85" zoomScaleNormal="85" workbookViewId="0">
      <selection activeCell="F36" sqref="F36"/>
    </sheetView>
  </sheetViews>
  <sheetFormatPr defaultRowHeight="12.5"/>
  <cols>
    <col min="1" max="1" width="27.08984375" bestFit="1" customWidth="1"/>
    <col min="2" max="4" width="17.54296875" customWidth="1"/>
    <col min="5" max="6" width="16.08984375" customWidth="1"/>
    <col min="7" max="7" width="10.54296875" customWidth="1"/>
    <col min="8" max="8" width="13.36328125" bestFit="1" customWidth="1"/>
    <col min="9" max="9" width="9.36328125" customWidth="1"/>
    <col min="10" max="10" width="17.54296875" bestFit="1" customWidth="1"/>
    <col min="11" max="11" width="9.36328125" bestFit="1" customWidth="1"/>
    <col min="12" max="12" width="13.6328125" customWidth="1"/>
    <col min="15" max="15" width="6.453125" customWidth="1"/>
    <col min="16" max="18" width="5.54296875" customWidth="1"/>
  </cols>
  <sheetData>
    <row r="1" spans="1:18" ht="13.5" thickBot="1">
      <c r="A1" s="211" t="s">
        <v>82</v>
      </c>
      <c r="C1" s="211" t="s">
        <v>83</v>
      </c>
      <c r="D1" s="211" t="s">
        <v>84</v>
      </c>
      <c r="F1" s="211" t="s">
        <v>86</v>
      </c>
      <c r="I1" s="211" t="s">
        <v>322</v>
      </c>
      <c r="J1" s="211" t="s">
        <v>89</v>
      </c>
      <c r="K1" s="211" t="s">
        <v>96</v>
      </c>
      <c r="L1" s="49"/>
      <c r="M1" s="211" t="s">
        <v>308</v>
      </c>
      <c r="O1" s="212" t="s">
        <v>313</v>
      </c>
    </row>
    <row r="2" spans="1:18">
      <c r="A2" s="218">
        <v>1</v>
      </c>
      <c r="C2" s="213" t="s">
        <v>65</v>
      </c>
      <c r="D2" s="213" t="s">
        <v>63</v>
      </c>
      <c r="F2" s="159"/>
      <c r="I2" s="49" t="s">
        <v>330</v>
      </c>
      <c r="J2" s="213" t="s">
        <v>90</v>
      </c>
      <c r="K2" s="220" t="s">
        <v>97</v>
      </c>
      <c r="L2" s="49"/>
      <c r="M2" s="218"/>
      <c r="P2" s="49" t="s">
        <v>97</v>
      </c>
      <c r="Q2" s="49" t="s">
        <v>244</v>
      </c>
      <c r="R2" s="49" t="s">
        <v>306</v>
      </c>
    </row>
    <row r="3" spans="1:18">
      <c r="A3" s="217">
        <v>2</v>
      </c>
      <c r="C3" s="217" t="s">
        <v>67</v>
      </c>
      <c r="D3" s="214" t="s">
        <v>153</v>
      </c>
      <c r="E3" s="49" t="s">
        <v>629</v>
      </c>
      <c r="F3" s="160" t="s">
        <v>232</v>
      </c>
      <c r="G3">
        <v>1</v>
      </c>
      <c r="H3" t="s">
        <v>87</v>
      </c>
      <c r="I3" s="49" t="s">
        <v>331</v>
      </c>
      <c r="J3" s="214" t="s">
        <v>91</v>
      </c>
      <c r="K3" s="221" t="s">
        <v>244</v>
      </c>
      <c r="L3" s="49"/>
      <c r="M3" s="217" t="s">
        <v>309</v>
      </c>
    </row>
    <row r="4" spans="1:18">
      <c r="A4" s="217">
        <v>3</v>
      </c>
      <c r="C4" s="215"/>
      <c r="D4" s="214" t="s">
        <v>85</v>
      </c>
      <c r="E4" s="160" t="s">
        <v>233</v>
      </c>
      <c r="F4" s="426" t="s">
        <v>630</v>
      </c>
      <c r="G4">
        <v>1</v>
      </c>
      <c r="H4" t="s">
        <v>87</v>
      </c>
      <c r="J4" s="214" t="s">
        <v>92</v>
      </c>
      <c r="K4" s="225" t="s">
        <v>306</v>
      </c>
      <c r="L4" s="49"/>
      <c r="M4" s="216" t="s">
        <v>310</v>
      </c>
      <c r="O4" t="s">
        <v>232</v>
      </c>
      <c r="P4">
        <v>1</v>
      </c>
      <c r="Q4">
        <v>0</v>
      </c>
      <c r="R4">
        <v>0</v>
      </c>
    </row>
    <row r="5" spans="1:18">
      <c r="A5" s="216"/>
      <c r="D5" s="215"/>
      <c r="F5" s="160" t="s">
        <v>234</v>
      </c>
      <c r="G5">
        <v>2</v>
      </c>
      <c r="H5" t="s">
        <v>87</v>
      </c>
      <c r="J5" s="214" t="s">
        <v>94</v>
      </c>
      <c r="K5" s="225" t="s">
        <v>319</v>
      </c>
      <c r="L5" s="49"/>
      <c r="M5" s="49"/>
      <c r="O5" t="s">
        <v>233</v>
      </c>
      <c r="P5">
        <v>1</v>
      </c>
      <c r="Q5">
        <v>0</v>
      </c>
      <c r="R5">
        <v>0</v>
      </c>
    </row>
    <row r="6" spans="1:18">
      <c r="F6" s="160" t="s">
        <v>235</v>
      </c>
      <c r="G6">
        <v>2</v>
      </c>
      <c r="H6" t="s">
        <v>87</v>
      </c>
      <c r="J6" s="214" t="s">
        <v>93</v>
      </c>
      <c r="K6" s="226"/>
      <c r="L6" s="49"/>
      <c r="M6" s="49"/>
      <c r="O6" t="s">
        <v>234</v>
      </c>
      <c r="P6">
        <v>1</v>
      </c>
      <c r="Q6">
        <v>0</v>
      </c>
      <c r="R6">
        <v>0</v>
      </c>
    </row>
    <row r="7" spans="1:18" ht="13">
      <c r="A7" s="211" t="s">
        <v>602</v>
      </c>
      <c r="F7" s="160" t="s">
        <v>236</v>
      </c>
      <c r="G7">
        <v>2</v>
      </c>
      <c r="H7" t="s">
        <v>87</v>
      </c>
      <c r="J7" s="214" t="s">
        <v>95</v>
      </c>
      <c r="L7" s="49"/>
      <c r="M7" s="49"/>
      <c r="O7" t="s">
        <v>235</v>
      </c>
      <c r="P7">
        <v>1</v>
      </c>
      <c r="Q7">
        <v>1</v>
      </c>
      <c r="R7">
        <v>0</v>
      </c>
    </row>
    <row r="8" spans="1:18">
      <c r="A8" s="49" t="s">
        <v>608</v>
      </c>
      <c r="F8" s="160" t="s">
        <v>237</v>
      </c>
      <c r="G8">
        <v>2</v>
      </c>
      <c r="H8" t="s">
        <v>87</v>
      </c>
      <c r="J8" s="214" t="s">
        <v>154</v>
      </c>
      <c r="K8" s="244">
        <v>220</v>
      </c>
      <c r="L8" s="245" t="s">
        <v>232</v>
      </c>
      <c r="M8" s="246" t="s">
        <v>323</v>
      </c>
      <c r="O8" t="s">
        <v>236</v>
      </c>
      <c r="P8">
        <v>1</v>
      </c>
      <c r="Q8">
        <v>1</v>
      </c>
      <c r="R8">
        <v>0</v>
      </c>
    </row>
    <row r="9" spans="1:18">
      <c r="A9" s="49" t="s">
        <v>609</v>
      </c>
      <c r="F9" s="160" t="s">
        <v>238</v>
      </c>
      <c r="G9">
        <v>2</v>
      </c>
      <c r="H9" t="s">
        <v>87</v>
      </c>
      <c r="J9" s="215"/>
      <c r="K9" s="244">
        <v>300</v>
      </c>
      <c r="L9" s="245" t="s">
        <v>233</v>
      </c>
      <c r="M9" s="246" t="s">
        <v>323</v>
      </c>
      <c r="O9" t="s">
        <v>237</v>
      </c>
      <c r="P9">
        <v>1</v>
      </c>
      <c r="Q9">
        <v>1</v>
      </c>
      <c r="R9">
        <v>0</v>
      </c>
    </row>
    <row r="10" spans="1:18">
      <c r="F10" s="222" t="s">
        <v>305</v>
      </c>
      <c r="G10">
        <v>2</v>
      </c>
      <c r="H10" t="s">
        <v>87</v>
      </c>
      <c r="K10" s="244">
        <v>180</v>
      </c>
      <c r="L10" s="245" t="s">
        <v>234</v>
      </c>
      <c r="M10" s="246" t="s">
        <v>323</v>
      </c>
      <c r="O10" t="s">
        <v>238</v>
      </c>
      <c r="P10">
        <v>1</v>
      </c>
      <c r="Q10">
        <v>1</v>
      </c>
      <c r="R10">
        <v>0</v>
      </c>
    </row>
    <row r="11" spans="1:18">
      <c r="F11" s="223" t="s">
        <v>239</v>
      </c>
      <c r="G11">
        <v>2</v>
      </c>
      <c r="H11" t="s">
        <v>87</v>
      </c>
      <c r="K11" s="247">
        <v>210</v>
      </c>
      <c r="L11" s="865" t="s">
        <v>324</v>
      </c>
      <c r="M11" s="248" t="s">
        <v>323</v>
      </c>
      <c r="O11" t="s">
        <v>305</v>
      </c>
      <c r="P11">
        <v>1</v>
      </c>
      <c r="Q11">
        <v>1</v>
      </c>
      <c r="R11">
        <v>1</v>
      </c>
    </row>
    <row r="12" spans="1:18" ht="13" thickBot="1">
      <c r="F12" s="224" t="s">
        <v>315</v>
      </c>
      <c r="G12">
        <v>2</v>
      </c>
      <c r="H12" t="s">
        <v>87</v>
      </c>
      <c r="K12" s="249">
        <v>230</v>
      </c>
      <c r="L12" s="866"/>
      <c r="M12" s="250" t="s">
        <v>325</v>
      </c>
      <c r="O12" t="s">
        <v>239</v>
      </c>
      <c r="P12">
        <v>1</v>
      </c>
      <c r="Q12">
        <v>1</v>
      </c>
      <c r="R12">
        <v>1</v>
      </c>
    </row>
    <row r="13" spans="1:18" ht="13" thickBot="1">
      <c r="F13" s="161" t="s">
        <v>243</v>
      </c>
      <c r="G13">
        <v>2</v>
      </c>
      <c r="H13" t="s">
        <v>231</v>
      </c>
      <c r="K13" s="251">
        <v>240</v>
      </c>
      <c r="L13" s="865" t="s">
        <v>236</v>
      </c>
      <c r="M13" s="252" t="s">
        <v>323</v>
      </c>
      <c r="O13" s="49" t="s">
        <v>315</v>
      </c>
      <c r="P13">
        <v>1</v>
      </c>
      <c r="Q13">
        <v>1</v>
      </c>
      <c r="R13">
        <v>1</v>
      </c>
    </row>
    <row r="14" spans="1:18">
      <c r="F14" s="160" t="s">
        <v>240</v>
      </c>
      <c r="G14">
        <v>2</v>
      </c>
      <c r="H14" t="s">
        <v>88</v>
      </c>
      <c r="K14" s="253">
        <v>280</v>
      </c>
      <c r="L14" s="866"/>
      <c r="M14" s="254" t="s">
        <v>325</v>
      </c>
      <c r="O14" t="s">
        <v>243</v>
      </c>
      <c r="P14">
        <v>1</v>
      </c>
      <c r="Q14">
        <v>1</v>
      </c>
      <c r="R14">
        <v>0</v>
      </c>
    </row>
    <row r="15" spans="1:18">
      <c r="F15" s="160" t="s">
        <v>241</v>
      </c>
      <c r="G15">
        <v>2</v>
      </c>
      <c r="H15" t="s">
        <v>88</v>
      </c>
      <c r="K15" s="251">
        <v>290</v>
      </c>
      <c r="L15" s="865" t="s">
        <v>237</v>
      </c>
      <c r="M15" s="252" t="s">
        <v>323</v>
      </c>
    </row>
    <row r="16" spans="1:18" ht="13" thickBot="1">
      <c r="F16" s="161" t="s">
        <v>242</v>
      </c>
      <c r="G16">
        <v>2</v>
      </c>
      <c r="H16" t="s">
        <v>88</v>
      </c>
      <c r="K16" s="253">
        <v>330</v>
      </c>
      <c r="L16" s="866"/>
      <c r="M16" s="254" t="s">
        <v>325</v>
      </c>
      <c r="O16" t="s">
        <v>240</v>
      </c>
      <c r="P16">
        <v>1</v>
      </c>
      <c r="Q16">
        <v>1</v>
      </c>
      <c r="R16">
        <v>0</v>
      </c>
    </row>
    <row r="17" spans="1:18">
      <c r="K17" s="251">
        <v>320</v>
      </c>
      <c r="L17" s="255" t="s">
        <v>238</v>
      </c>
      <c r="M17" s="252" t="s">
        <v>323</v>
      </c>
      <c r="O17" t="s">
        <v>241</v>
      </c>
      <c r="P17">
        <v>1</v>
      </c>
      <c r="Q17">
        <v>1</v>
      </c>
      <c r="R17">
        <v>0</v>
      </c>
    </row>
    <row r="18" spans="1:18">
      <c r="K18" s="253">
        <v>360</v>
      </c>
      <c r="L18" s="256"/>
      <c r="M18" s="254" t="s">
        <v>325</v>
      </c>
      <c r="O18" t="s">
        <v>242</v>
      </c>
      <c r="P18">
        <v>1</v>
      </c>
      <c r="Q18">
        <v>1</v>
      </c>
      <c r="R18">
        <v>0</v>
      </c>
    </row>
    <row r="19" spans="1:18">
      <c r="K19" s="251">
        <v>280</v>
      </c>
      <c r="L19" s="867" t="s">
        <v>305</v>
      </c>
      <c r="M19" s="252" t="s">
        <v>326</v>
      </c>
    </row>
    <row r="20" spans="1:18" ht="13">
      <c r="A20" s="48" t="s">
        <v>69</v>
      </c>
      <c r="K20" s="257">
        <v>320</v>
      </c>
      <c r="L20" s="868"/>
      <c r="M20" s="258" t="s">
        <v>323</v>
      </c>
    </row>
    <row r="21" spans="1:18">
      <c r="A21" s="47">
        <f>Input!E19</f>
        <v>5559.0277777777774</v>
      </c>
      <c r="B21" s="47">
        <f>Input!F19</f>
        <v>0</v>
      </c>
      <c r="C21" s="47">
        <f>Input!G19</f>
        <v>0</v>
      </c>
      <c r="K21" s="257">
        <v>360</v>
      </c>
      <c r="L21" s="868"/>
      <c r="M21" s="258" t="s">
        <v>325</v>
      </c>
    </row>
    <row r="22" spans="1:18" ht="13">
      <c r="A22" s="9" t="s">
        <v>70</v>
      </c>
      <c r="K22" s="251">
        <v>280</v>
      </c>
      <c r="L22" s="867" t="s">
        <v>239</v>
      </c>
      <c r="M22" s="252" t="s">
        <v>326</v>
      </c>
    </row>
    <row r="23" spans="1:18">
      <c r="A23" s="47">
        <f>Input!E23</f>
        <v>1</v>
      </c>
      <c r="B23" s="47">
        <f>Input!F23</f>
        <v>0</v>
      </c>
      <c r="C23" s="47">
        <f>Input!G23</f>
        <v>0</v>
      </c>
      <c r="K23" s="257">
        <v>320</v>
      </c>
      <c r="L23" s="868"/>
      <c r="M23" s="258" t="s">
        <v>323</v>
      </c>
    </row>
    <row r="24" spans="1:18" ht="13">
      <c r="A24" s="9" t="s">
        <v>71</v>
      </c>
      <c r="I24" s="156"/>
      <c r="K24" s="257">
        <v>360</v>
      </c>
      <c r="L24" s="868"/>
      <c r="M24" s="258" t="s">
        <v>325</v>
      </c>
    </row>
    <row r="25" spans="1:18">
      <c r="A25" s="47">
        <f>Input!E27</f>
        <v>5</v>
      </c>
      <c r="B25" s="47">
        <f>Input!F27</f>
        <v>0</v>
      </c>
      <c r="C25" s="47">
        <f>Input!G27</f>
        <v>0</v>
      </c>
      <c r="I25" s="157"/>
      <c r="K25" s="253">
        <v>400</v>
      </c>
      <c r="L25" s="869"/>
      <c r="M25" s="254" t="s">
        <v>689</v>
      </c>
    </row>
    <row r="26" spans="1:18" ht="13">
      <c r="A26" s="9" t="s">
        <v>72</v>
      </c>
      <c r="I26" s="157"/>
      <c r="K26" s="251">
        <v>320</v>
      </c>
      <c r="L26" s="488" t="s">
        <v>315</v>
      </c>
      <c r="M26" s="252" t="s">
        <v>323</v>
      </c>
    </row>
    <row r="27" spans="1:18">
      <c r="A27" s="47">
        <f>Input!E30</f>
        <v>35</v>
      </c>
      <c r="B27" s="47">
        <f>Input!F30</f>
        <v>0</v>
      </c>
      <c r="C27" s="47">
        <f>Input!G30</f>
        <v>0</v>
      </c>
      <c r="I27" s="157"/>
      <c r="K27" s="257">
        <v>360</v>
      </c>
      <c r="L27" s="489"/>
      <c r="M27" s="258" t="s">
        <v>325</v>
      </c>
    </row>
    <row r="28" spans="1:18" ht="13">
      <c r="A28" s="9" t="s">
        <v>73</v>
      </c>
      <c r="I28" s="157"/>
      <c r="K28" s="253">
        <v>400</v>
      </c>
      <c r="L28" s="490"/>
      <c r="M28" s="254" t="s">
        <v>327</v>
      </c>
    </row>
    <row r="29" spans="1:18">
      <c r="A29" s="47">
        <f>Input!E33</f>
        <v>0</v>
      </c>
      <c r="B29" s="47">
        <f>Input!F33</f>
        <v>0</v>
      </c>
      <c r="C29" s="47">
        <f>Input!G33</f>
        <v>0</v>
      </c>
      <c r="I29" s="157"/>
      <c r="K29" s="238">
        <v>200</v>
      </c>
      <c r="L29" s="482" t="s">
        <v>243</v>
      </c>
      <c r="M29" s="239" t="s">
        <v>323</v>
      </c>
    </row>
    <row r="30" spans="1:18" ht="13">
      <c r="A30" s="48" t="s">
        <v>100</v>
      </c>
      <c r="I30" s="157"/>
      <c r="K30" s="238">
        <v>240</v>
      </c>
      <c r="L30" s="483"/>
      <c r="M30" s="239" t="s">
        <v>325</v>
      </c>
    </row>
    <row r="31" spans="1:18">
      <c r="A31">
        <f>Input!E36</f>
        <v>2</v>
      </c>
      <c r="B31">
        <f>Input!F36</f>
        <v>3</v>
      </c>
      <c r="C31">
        <f>Input!G36</f>
        <v>3</v>
      </c>
      <c r="I31" s="157"/>
      <c r="K31" s="240">
        <v>135</v>
      </c>
      <c r="L31" s="484" t="s">
        <v>240</v>
      </c>
      <c r="M31" s="241" t="s">
        <v>323</v>
      </c>
    </row>
    <row r="32" spans="1:18" ht="13">
      <c r="A32" s="48" t="s">
        <v>101</v>
      </c>
      <c r="I32" s="157"/>
      <c r="K32" s="242">
        <v>150</v>
      </c>
      <c r="L32" s="485"/>
      <c r="M32" s="243" t="s">
        <v>325</v>
      </c>
    </row>
    <row r="33" spans="1:13">
      <c r="A33">
        <f>Kv</f>
        <v>0</v>
      </c>
      <c r="B33">
        <f>Input!F34</f>
        <v>0</v>
      </c>
      <c r="C33" s="493">
        <f>Input!G34</f>
        <v>0</v>
      </c>
      <c r="I33" s="157"/>
      <c r="K33" s="240">
        <v>135</v>
      </c>
      <c r="L33" s="484" t="s">
        <v>241</v>
      </c>
      <c r="M33" s="241" t="s">
        <v>323</v>
      </c>
    </row>
    <row r="34" spans="1:13">
      <c r="I34" s="158"/>
      <c r="K34" s="242">
        <v>150</v>
      </c>
      <c r="L34" s="485"/>
      <c r="M34" s="243" t="s">
        <v>325</v>
      </c>
    </row>
    <row r="35" spans="1:13" ht="13">
      <c r="A35" s="48" t="s">
        <v>105</v>
      </c>
      <c r="B35" s="48" t="s">
        <v>104</v>
      </c>
      <c r="C35" s="48" t="s">
        <v>102</v>
      </c>
      <c r="D35" s="48" t="s">
        <v>103</v>
      </c>
      <c r="E35" s="211" t="s">
        <v>1014</v>
      </c>
      <c r="K35" s="234">
        <v>135</v>
      </c>
      <c r="L35" s="486" t="s">
        <v>328</v>
      </c>
      <c r="M35" s="235" t="s">
        <v>323</v>
      </c>
    </row>
    <row r="36" spans="1:13">
      <c r="A36" s="49" t="s">
        <v>106</v>
      </c>
      <c r="B36">
        <v>1</v>
      </c>
      <c r="C36" s="20">
        <f>Input!B155</f>
        <v>0</v>
      </c>
      <c r="D36">
        <f>Input!B161</f>
        <v>0</v>
      </c>
      <c r="E36">
        <f>Input!B167</f>
        <v>0</v>
      </c>
      <c r="K36" s="236">
        <v>150</v>
      </c>
      <c r="L36" s="487"/>
      <c r="M36" s="237" t="s">
        <v>325</v>
      </c>
    </row>
    <row r="37" spans="1:13">
      <c r="A37" s="49" t="s">
        <v>108</v>
      </c>
      <c r="B37">
        <v>1</v>
      </c>
      <c r="C37">
        <f>Input!B156</f>
        <v>0</v>
      </c>
      <c r="D37">
        <f>Input!B162</f>
        <v>0</v>
      </c>
      <c r="E37">
        <f>Input!B168</f>
        <v>0</v>
      </c>
    </row>
    <row r="38" spans="1:13">
      <c r="A38" s="49" t="s">
        <v>107</v>
      </c>
      <c r="B38">
        <v>1</v>
      </c>
      <c r="C38">
        <f>Input!B157</f>
        <v>0</v>
      </c>
      <c r="D38">
        <f>Input!B163</f>
        <v>0</v>
      </c>
      <c r="E38">
        <f>Input!B169</f>
        <v>0</v>
      </c>
    </row>
    <row r="39" spans="1:13">
      <c r="A39" s="49" t="s">
        <v>106</v>
      </c>
      <c r="B39">
        <v>2</v>
      </c>
      <c r="C39">
        <f>Input!C155</f>
        <v>0</v>
      </c>
      <c r="D39">
        <f>Input!C161</f>
        <v>0</v>
      </c>
      <c r="E39">
        <f>Input!C167</f>
        <v>0</v>
      </c>
    </row>
    <row r="40" spans="1:13">
      <c r="A40" s="49" t="s">
        <v>108</v>
      </c>
      <c r="B40">
        <v>2</v>
      </c>
      <c r="C40">
        <f>Input!C156</f>
        <v>0</v>
      </c>
      <c r="D40">
        <f>Input!C162</f>
        <v>0</v>
      </c>
      <c r="E40">
        <f>Input!C168</f>
        <v>0</v>
      </c>
    </row>
    <row r="41" spans="1:13">
      <c r="A41" s="49" t="s">
        <v>107</v>
      </c>
      <c r="B41">
        <v>2</v>
      </c>
      <c r="C41">
        <f>Input!C157</f>
        <v>0</v>
      </c>
      <c r="D41">
        <f>Input!C163</f>
        <v>0</v>
      </c>
      <c r="E41">
        <f>Input!C169</f>
        <v>0</v>
      </c>
    </row>
    <row r="42" spans="1:13">
      <c r="A42" s="49" t="s">
        <v>106</v>
      </c>
      <c r="B42">
        <v>3</v>
      </c>
      <c r="C42">
        <f>Input!D155</f>
        <v>0</v>
      </c>
      <c r="D42">
        <f>Input!D161</f>
        <v>0</v>
      </c>
      <c r="E42">
        <f>Input!D167</f>
        <v>0</v>
      </c>
    </row>
    <row r="43" spans="1:13">
      <c r="A43" s="49" t="s">
        <v>108</v>
      </c>
      <c r="B43">
        <v>3</v>
      </c>
      <c r="C43">
        <f>Input!D156</f>
        <v>0</v>
      </c>
      <c r="D43">
        <f>Input!D162</f>
        <v>0</v>
      </c>
      <c r="E43">
        <f>Input!D168</f>
        <v>0</v>
      </c>
    </row>
    <row r="44" spans="1:13">
      <c r="A44" s="49" t="s">
        <v>107</v>
      </c>
      <c r="B44">
        <v>3</v>
      </c>
      <c r="C44">
        <f>Input!D157</f>
        <v>0</v>
      </c>
      <c r="D44">
        <f>Input!D163</f>
        <v>0</v>
      </c>
      <c r="E44">
        <f>Input!D169</f>
        <v>0</v>
      </c>
    </row>
    <row r="45" spans="1:13">
      <c r="A45" s="49" t="s">
        <v>106</v>
      </c>
      <c r="B45">
        <v>4</v>
      </c>
      <c r="C45">
        <f>Input!E155</f>
        <v>0</v>
      </c>
      <c r="D45">
        <f>Input!E161</f>
        <v>0</v>
      </c>
      <c r="E45">
        <f>Input!E167</f>
        <v>0</v>
      </c>
    </row>
    <row r="46" spans="1:13">
      <c r="A46" s="49" t="s">
        <v>108</v>
      </c>
      <c r="B46">
        <v>4</v>
      </c>
      <c r="C46">
        <f>Input!E156</f>
        <v>0</v>
      </c>
      <c r="D46">
        <f>Input!E162</f>
        <v>0</v>
      </c>
      <c r="E46">
        <f>Input!E168</f>
        <v>0</v>
      </c>
    </row>
    <row r="47" spans="1:13">
      <c r="A47" s="49" t="s">
        <v>107</v>
      </c>
      <c r="B47">
        <v>4</v>
      </c>
      <c r="C47">
        <f>Input!E157</f>
        <v>0</v>
      </c>
      <c r="D47">
        <f>Input!E163</f>
        <v>0</v>
      </c>
      <c r="E47">
        <f>Input!E169</f>
        <v>0</v>
      </c>
    </row>
    <row r="48" spans="1:13">
      <c r="A48" s="49" t="s">
        <v>106</v>
      </c>
      <c r="B48">
        <v>5</v>
      </c>
      <c r="C48">
        <f>Input!F155</f>
        <v>0</v>
      </c>
      <c r="D48">
        <f>Input!F161</f>
        <v>0</v>
      </c>
      <c r="E48">
        <f>Input!F167</f>
        <v>0</v>
      </c>
    </row>
    <row r="49" spans="1:5">
      <c r="A49" s="49" t="s">
        <v>108</v>
      </c>
      <c r="B49">
        <v>5</v>
      </c>
      <c r="C49">
        <f>Input!F156</f>
        <v>0</v>
      </c>
      <c r="D49">
        <f>Input!F162</f>
        <v>0</v>
      </c>
      <c r="E49">
        <f>Input!F168</f>
        <v>0</v>
      </c>
    </row>
    <row r="50" spans="1:5">
      <c r="A50" s="49" t="s">
        <v>107</v>
      </c>
      <c r="B50">
        <v>5</v>
      </c>
      <c r="C50">
        <f>Input!F157</f>
        <v>0</v>
      </c>
      <c r="D50">
        <f>Input!F163</f>
        <v>0</v>
      </c>
      <c r="E50">
        <f>Input!F169</f>
        <v>0</v>
      </c>
    </row>
    <row r="51" spans="1:5">
      <c r="A51" s="49" t="s">
        <v>106</v>
      </c>
      <c r="B51">
        <v>6</v>
      </c>
      <c r="C51">
        <f>Input!G155</f>
        <v>0</v>
      </c>
      <c r="D51">
        <f>Input!G161</f>
        <v>0</v>
      </c>
      <c r="E51">
        <f>Input!G167</f>
        <v>0</v>
      </c>
    </row>
    <row r="52" spans="1:5">
      <c r="A52" s="49" t="s">
        <v>108</v>
      </c>
      <c r="B52">
        <v>6</v>
      </c>
      <c r="C52">
        <f>Input!G156</f>
        <v>0</v>
      </c>
      <c r="D52">
        <f>Input!G162</f>
        <v>0</v>
      </c>
      <c r="E52">
        <f>Input!G168</f>
        <v>0</v>
      </c>
    </row>
    <row r="53" spans="1:5">
      <c r="A53" s="49" t="s">
        <v>107</v>
      </c>
      <c r="B53">
        <v>6</v>
      </c>
      <c r="C53">
        <f>Input!G157</f>
        <v>0</v>
      </c>
      <c r="D53">
        <f>Input!G163</f>
        <v>0</v>
      </c>
      <c r="E53">
        <f>Input!G169</f>
        <v>0</v>
      </c>
    </row>
    <row r="54" spans="1:5">
      <c r="A54" s="49" t="s">
        <v>106</v>
      </c>
      <c r="B54">
        <v>7</v>
      </c>
      <c r="C54">
        <f>Input!H155</f>
        <v>0</v>
      </c>
      <c r="D54">
        <f>Input!H161</f>
        <v>0</v>
      </c>
      <c r="E54">
        <f>Input!H167</f>
        <v>0</v>
      </c>
    </row>
    <row r="55" spans="1:5">
      <c r="A55" s="49" t="s">
        <v>108</v>
      </c>
      <c r="B55">
        <v>7</v>
      </c>
      <c r="C55">
        <f>Input!H156</f>
        <v>0</v>
      </c>
      <c r="D55">
        <f>Input!H162</f>
        <v>0</v>
      </c>
      <c r="E55">
        <f>Input!H168</f>
        <v>0</v>
      </c>
    </row>
    <row r="56" spans="1:5">
      <c r="A56" s="49" t="s">
        <v>107</v>
      </c>
      <c r="B56">
        <v>7</v>
      </c>
      <c r="C56">
        <f>Input!H157</f>
        <v>0</v>
      </c>
      <c r="D56">
        <f>Input!H163</f>
        <v>0</v>
      </c>
      <c r="E56">
        <f>Input!H169</f>
        <v>0</v>
      </c>
    </row>
    <row r="57" spans="1:5">
      <c r="A57" s="49" t="s">
        <v>106</v>
      </c>
      <c r="B57">
        <v>8</v>
      </c>
      <c r="C57">
        <f>Input!I155</f>
        <v>0</v>
      </c>
      <c r="D57">
        <f>Input!I161</f>
        <v>0</v>
      </c>
      <c r="E57">
        <f>Input!I167</f>
        <v>0</v>
      </c>
    </row>
    <row r="58" spans="1:5">
      <c r="A58" s="49" t="s">
        <v>108</v>
      </c>
      <c r="B58">
        <v>8</v>
      </c>
      <c r="C58">
        <f>Input!I156</f>
        <v>0</v>
      </c>
      <c r="D58">
        <f>Input!I162</f>
        <v>0</v>
      </c>
      <c r="E58">
        <f>Input!I168</f>
        <v>0</v>
      </c>
    </row>
    <row r="59" spans="1:5">
      <c r="A59" s="49" t="s">
        <v>107</v>
      </c>
      <c r="B59">
        <v>8</v>
      </c>
      <c r="C59">
        <f>Input!I157</f>
        <v>0</v>
      </c>
      <c r="D59">
        <f>Input!I163</f>
        <v>0</v>
      </c>
      <c r="E59">
        <f>Input!I169</f>
        <v>0</v>
      </c>
    </row>
    <row r="60" spans="1:5">
      <c r="A60" s="49" t="s">
        <v>106</v>
      </c>
      <c r="B60">
        <v>9</v>
      </c>
      <c r="C60">
        <v>0</v>
      </c>
      <c r="D60">
        <v>0</v>
      </c>
      <c r="E60">
        <v>0</v>
      </c>
    </row>
    <row r="61" spans="1:5">
      <c r="A61" s="49" t="s">
        <v>108</v>
      </c>
      <c r="B61">
        <v>9</v>
      </c>
      <c r="C61">
        <v>0</v>
      </c>
      <c r="D61">
        <v>0</v>
      </c>
      <c r="E61">
        <v>0</v>
      </c>
    </row>
    <row r="62" spans="1:5">
      <c r="A62" s="49" t="s">
        <v>107</v>
      </c>
      <c r="B62">
        <v>9</v>
      </c>
      <c r="C62">
        <v>0</v>
      </c>
      <c r="D62">
        <v>0</v>
      </c>
      <c r="E62">
        <v>0</v>
      </c>
    </row>
    <row r="63" spans="1:5">
      <c r="A63" s="49" t="s">
        <v>106</v>
      </c>
      <c r="B63">
        <v>10</v>
      </c>
      <c r="C63">
        <v>0</v>
      </c>
      <c r="D63">
        <v>0</v>
      </c>
      <c r="E63">
        <v>0</v>
      </c>
    </row>
    <row r="64" spans="1:5">
      <c r="A64" s="49" t="s">
        <v>108</v>
      </c>
      <c r="B64">
        <v>10</v>
      </c>
      <c r="C64">
        <v>0</v>
      </c>
      <c r="D64">
        <v>0</v>
      </c>
      <c r="E64">
        <v>0</v>
      </c>
    </row>
    <row r="65" spans="1:5">
      <c r="A65" s="49" t="s">
        <v>107</v>
      </c>
      <c r="B65">
        <v>10</v>
      </c>
      <c r="C65">
        <v>0</v>
      </c>
      <c r="D65">
        <v>0</v>
      </c>
      <c r="E65">
        <v>0</v>
      </c>
    </row>
    <row r="200" spans="1:9" ht="13">
      <c r="A200" s="29"/>
      <c r="B200" s="28" t="s">
        <v>2</v>
      </c>
      <c r="C200" s="28" t="s">
        <v>3</v>
      </c>
      <c r="D200" s="30" t="s">
        <v>4</v>
      </c>
      <c r="E200" s="31" t="s">
        <v>5</v>
      </c>
      <c r="F200" s="31" t="s">
        <v>5</v>
      </c>
      <c r="G200" s="31" t="s">
        <v>5</v>
      </c>
      <c r="H200" s="31" t="s">
        <v>601</v>
      </c>
      <c r="I200" t="str">
        <f>CONCATENATE(A201,$H$200,A202,$H$200,A203,$H$200,A204,$H$200,A205,$H$200,A206,$H$200,A207,$H$200,A208,$H$200,A209,$H$200,A210,$H$200,A211,$H$200,A212,$H$200,A213,$H$200,A214,$H$200,A215,$H$200,A216,$H$200,A217,$H$200,A218,$H$200,A219,$H$200,A220,$H$200,A221,$H$200,A222,$H$200,A223,$H$200,A224,$H$200,A225,$H$200,A226,$H$200,A227,$H$200,A228,$H$200,A229,$H$200,A230,$H$200,A231,$H$200,A232,$H$200,A233,$H$200,A234,$H$200,A235,$H$200,A236,$H$200,A237,$H$200,A238,$H$200,A239,$H$200,A240,$H$200,)</f>
        <v>740,760,750,830,840,890,810,850,800,770,10,380,210,20,220,30,230,260,50,40,70,60,449,80,480,90,450,140,150,160,170,180,190,360,656,370,340,330,270,120,</v>
      </c>
    </row>
    <row r="201" spans="1:9">
      <c r="A201" s="29">
        <v>740</v>
      </c>
      <c r="B201" s="21" t="s">
        <v>6</v>
      </c>
      <c r="C201" s="21" t="s">
        <v>7</v>
      </c>
      <c r="D201" s="33">
        <v>2.016</v>
      </c>
      <c r="E201" s="10">
        <f>Input!E43</f>
        <v>100</v>
      </c>
      <c r="F201" s="10">
        <f>Input!F43</f>
        <v>0</v>
      </c>
      <c r="G201" s="10">
        <f>Input!G43</f>
        <v>0</v>
      </c>
      <c r="I201" t="str">
        <f>CONCATENATE(A241,$H$200,A242,$H$200,A243,$H$200,A244,$H$200,A245,$H$200,A246,$H$200,A247,$H$200,A248,$H$200,A249,$H$200,A250,$H$200,A251,$H$200,A252,$H$200,A253,$H$200,A254,$H$200,A255,$H$200,A256,$H$200,A257,$H$200,A258,$H$200,A259,$H$200,A260,$H$200,A261,$H$200,A262,$H$200,A263,$H$200,A264,$H$200,A265,$H$200,A266,$H$200,A267,$H$200,A268,$H$200,A269,$H$200,A270,$H$200,A271,$H$200,A272,$H$200,A273,$H$200,A274,$H$200,A275,$H$200,A276,$H$200,A277,$H$200,A278,$H$200,A279,$H$200,A280,$H$200,)</f>
        <v>130,300,320,100,310,110,331,620,730,835,761,240,280,651,553,680,654,570,622,530,880,551,710,660,670,690,720,882,653,575,331,572,560,621,650,609,390,600,552,550,</v>
      </c>
    </row>
    <row r="202" spans="1:9">
      <c r="A202" s="29">
        <v>760</v>
      </c>
      <c r="B202" s="21" t="s">
        <v>8</v>
      </c>
      <c r="C202" s="21" t="s">
        <v>9</v>
      </c>
      <c r="D202" s="33">
        <v>32</v>
      </c>
      <c r="E202" s="10">
        <f>Input!E44</f>
        <v>0</v>
      </c>
      <c r="F202" s="10">
        <f>Input!F44</f>
        <v>0</v>
      </c>
      <c r="G202" s="10">
        <f>Input!G44</f>
        <v>0</v>
      </c>
      <c r="I202" t="str">
        <f>CONCATENATE(A281,$H$200,A282,$H$200,A283,$H$200,A284,$H$200,A285,$H$200,A286,$H$200,A287,$H$200,A288,$H$200,A289,$H$200,A290,$H$200,A291,$H$200,A292,$H$200,A293,$H$200,A294,$H$200,A295,$H$200,A296,$H$200,A297,$H$200,A298,$H$200,A299,$H$200,A300,$H$200,A301,$H$200,A302)</f>
        <v>510,573,860,864,865,200,500,681,350,571,652,654,881,520,671,682,640,490,250,290,610,657</v>
      </c>
    </row>
    <row r="203" spans="1:9">
      <c r="A203" s="29">
        <v>750</v>
      </c>
      <c r="B203" s="21" t="s">
        <v>10</v>
      </c>
      <c r="C203" s="21" t="s">
        <v>11</v>
      </c>
      <c r="D203" s="33">
        <v>28.015999999999998</v>
      </c>
      <c r="E203" s="10">
        <f>Input!E45</f>
        <v>0</v>
      </c>
      <c r="F203" s="10">
        <f>Input!F45</f>
        <v>0</v>
      </c>
      <c r="G203" s="10">
        <f>Input!G45</f>
        <v>0</v>
      </c>
    </row>
    <row r="204" spans="1:9">
      <c r="A204" s="29">
        <v>830</v>
      </c>
      <c r="B204" s="21" t="s">
        <v>12</v>
      </c>
      <c r="C204" s="21" t="s">
        <v>13</v>
      </c>
      <c r="D204" s="33">
        <v>28.01</v>
      </c>
      <c r="E204" s="10">
        <f>Input!E46</f>
        <v>0</v>
      </c>
      <c r="F204" s="10">
        <f>Input!F46</f>
        <v>0</v>
      </c>
      <c r="G204" s="10">
        <f>Input!G46</f>
        <v>0</v>
      </c>
    </row>
    <row r="205" spans="1:9">
      <c r="A205" s="29">
        <v>840</v>
      </c>
      <c r="B205" s="21" t="s">
        <v>14</v>
      </c>
      <c r="C205" s="21" t="s">
        <v>15</v>
      </c>
      <c r="D205" s="33">
        <v>44.01</v>
      </c>
      <c r="E205" s="10">
        <f>Input!E47</f>
        <v>0</v>
      </c>
      <c r="F205" s="10">
        <f>Input!F47</f>
        <v>0</v>
      </c>
      <c r="G205" s="10">
        <f>Input!G47</f>
        <v>0</v>
      </c>
    </row>
    <row r="206" spans="1:9">
      <c r="A206" s="29">
        <v>890</v>
      </c>
      <c r="B206" s="21" t="s">
        <v>16</v>
      </c>
      <c r="C206" s="21" t="s">
        <v>17</v>
      </c>
      <c r="D206" s="33">
        <v>18.015999999999998</v>
      </c>
      <c r="E206" s="10">
        <f>Input!E48</f>
        <v>0</v>
      </c>
      <c r="F206" s="10">
        <f>Input!F48</f>
        <v>0</v>
      </c>
      <c r="G206" s="10">
        <f>Input!G48</f>
        <v>0</v>
      </c>
    </row>
    <row r="207" spans="1:9">
      <c r="A207" s="29">
        <v>810</v>
      </c>
      <c r="B207" s="21" t="s">
        <v>18</v>
      </c>
      <c r="C207" s="21" t="s">
        <v>19</v>
      </c>
      <c r="D207" s="33">
        <v>17.032</v>
      </c>
      <c r="E207" s="10">
        <f>Input!E49</f>
        <v>0</v>
      </c>
      <c r="F207" s="10">
        <f>Input!F49</f>
        <v>0</v>
      </c>
      <c r="G207" s="10">
        <f>Input!G49</f>
        <v>0</v>
      </c>
    </row>
    <row r="208" spans="1:9">
      <c r="A208" s="29">
        <v>850</v>
      </c>
      <c r="B208" s="21" t="s">
        <v>20</v>
      </c>
      <c r="C208" s="21" t="s">
        <v>21</v>
      </c>
      <c r="D208" s="33">
        <v>64.06</v>
      </c>
      <c r="E208" s="10">
        <f>Input!E50</f>
        <v>0</v>
      </c>
      <c r="F208" s="10">
        <f>Input!F50</f>
        <v>0</v>
      </c>
      <c r="G208" s="10">
        <f>Input!G50</f>
        <v>0</v>
      </c>
    </row>
    <row r="209" spans="1:7">
      <c r="A209" s="29">
        <v>800</v>
      </c>
      <c r="B209" s="21" t="s">
        <v>68</v>
      </c>
      <c r="C209" s="21" t="s">
        <v>22</v>
      </c>
      <c r="D209" s="33">
        <v>34.076000000000001</v>
      </c>
      <c r="E209" s="10">
        <f>Input!E51</f>
        <v>0</v>
      </c>
      <c r="F209" s="10">
        <f>Input!F51</f>
        <v>0</v>
      </c>
      <c r="G209" s="10">
        <f>Input!G51</f>
        <v>0</v>
      </c>
    </row>
    <row r="210" spans="1:7">
      <c r="A210" s="29">
        <v>770</v>
      </c>
      <c r="B210" s="21" t="s">
        <v>23</v>
      </c>
      <c r="C210" s="21"/>
      <c r="D210" s="33">
        <v>28.966000000000001</v>
      </c>
      <c r="E210" s="10">
        <f>Input!E52</f>
        <v>0</v>
      </c>
      <c r="F210" s="10">
        <f>Input!F52</f>
        <v>0</v>
      </c>
      <c r="G210" s="10">
        <f>Input!G52</f>
        <v>0</v>
      </c>
    </row>
    <row r="211" spans="1:7">
      <c r="A211" s="29">
        <v>10</v>
      </c>
      <c r="B211" s="21" t="s">
        <v>24</v>
      </c>
      <c r="C211" s="21" t="s">
        <v>25</v>
      </c>
      <c r="D211" s="33">
        <v>16.042000000000002</v>
      </c>
      <c r="E211" s="10">
        <f>Input!E53</f>
        <v>0</v>
      </c>
      <c r="F211" s="10">
        <f>Input!F53</f>
        <v>0</v>
      </c>
      <c r="G211" s="10">
        <f>Input!G53</f>
        <v>0</v>
      </c>
    </row>
    <row r="212" spans="1:7">
      <c r="A212" s="29">
        <v>380</v>
      </c>
      <c r="B212" s="21" t="s">
        <v>26</v>
      </c>
      <c r="C212" s="21" t="s">
        <v>27</v>
      </c>
      <c r="D212" s="33">
        <v>26.036000000000001</v>
      </c>
      <c r="E212" s="10">
        <f>Input!E54</f>
        <v>0</v>
      </c>
      <c r="F212" s="10">
        <f>Input!F54</f>
        <v>0</v>
      </c>
      <c r="G212" s="10">
        <f>Input!G54</f>
        <v>0</v>
      </c>
    </row>
    <row r="213" spans="1:7">
      <c r="A213" s="29">
        <v>210</v>
      </c>
      <c r="B213" s="21" t="s">
        <v>28</v>
      </c>
      <c r="C213" s="21" t="s">
        <v>29</v>
      </c>
      <c r="D213" s="33">
        <v>28.052</v>
      </c>
      <c r="E213" s="10">
        <f>Input!E55</f>
        <v>0</v>
      </c>
      <c r="F213" s="10">
        <f>Input!F55</f>
        <v>0</v>
      </c>
      <c r="G213" s="10">
        <f>Input!G55</f>
        <v>0</v>
      </c>
    </row>
    <row r="214" spans="1:7">
      <c r="A214" s="29">
        <v>20</v>
      </c>
      <c r="B214" s="21" t="s">
        <v>30</v>
      </c>
      <c r="C214" s="21" t="s">
        <v>31</v>
      </c>
      <c r="D214" s="33">
        <v>30.068000000000001</v>
      </c>
      <c r="E214" s="10">
        <f>Input!E56</f>
        <v>0</v>
      </c>
      <c r="F214" s="10">
        <f>Input!F56</f>
        <v>0</v>
      </c>
      <c r="G214" s="10">
        <f>Input!G56</f>
        <v>0</v>
      </c>
    </row>
    <row r="215" spans="1:7">
      <c r="A215" s="29">
        <v>220</v>
      </c>
      <c r="B215" s="21" t="s">
        <v>32</v>
      </c>
      <c r="C215" s="21" t="s">
        <v>33</v>
      </c>
      <c r="D215" s="33">
        <v>42.078000000000003</v>
      </c>
      <c r="E215" s="10">
        <f>Input!E57</f>
        <v>0</v>
      </c>
      <c r="F215" s="10">
        <f>Input!F57</f>
        <v>0</v>
      </c>
      <c r="G215" s="10">
        <f>Input!G57</f>
        <v>0</v>
      </c>
    </row>
    <row r="216" spans="1:7">
      <c r="A216" s="29">
        <v>30</v>
      </c>
      <c r="B216" s="21" t="s">
        <v>34</v>
      </c>
      <c r="C216" s="21" t="s">
        <v>35</v>
      </c>
      <c r="D216" s="33">
        <v>44.094000000000001</v>
      </c>
      <c r="E216" s="10">
        <f>Input!E58</f>
        <v>0</v>
      </c>
      <c r="F216" s="10">
        <f>Input!F58</f>
        <v>0</v>
      </c>
      <c r="G216" s="10">
        <f>Input!G58</f>
        <v>0</v>
      </c>
    </row>
    <row r="217" spans="1:7">
      <c r="A217" s="29">
        <v>230</v>
      </c>
      <c r="B217" s="264" t="s">
        <v>459</v>
      </c>
      <c r="C217" s="264" t="s">
        <v>462</v>
      </c>
      <c r="D217" s="33">
        <v>56.107999999999997</v>
      </c>
      <c r="E217" s="10">
        <f>Input!E59</f>
        <v>0</v>
      </c>
      <c r="F217" s="10">
        <f>Input!F59</f>
        <v>0</v>
      </c>
      <c r="G217" s="10">
        <f>Input!G59</f>
        <v>0</v>
      </c>
    </row>
    <row r="218" spans="1:7">
      <c r="A218" s="29">
        <v>260</v>
      </c>
      <c r="B218" s="21" t="s">
        <v>37</v>
      </c>
      <c r="C218" s="21" t="s">
        <v>36</v>
      </c>
      <c r="D218" s="33">
        <v>56.103999999999999</v>
      </c>
      <c r="E218" s="10">
        <f>Input!E60</f>
        <v>0</v>
      </c>
      <c r="F218" s="10">
        <f>Input!F60</f>
        <v>0</v>
      </c>
      <c r="G218" s="10">
        <f>Input!G60</f>
        <v>0</v>
      </c>
    </row>
    <row r="219" spans="1:7">
      <c r="A219" s="29">
        <v>50</v>
      </c>
      <c r="B219" s="21" t="s">
        <v>40</v>
      </c>
      <c r="C219" s="21" t="s">
        <v>39</v>
      </c>
      <c r="D219" s="33">
        <v>58.12</v>
      </c>
      <c r="E219" s="10">
        <f>Input!E61</f>
        <v>0</v>
      </c>
      <c r="F219" s="10">
        <f>Input!F61</f>
        <v>0</v>
      </c>
      <c r="G219" s="10">
        <f>Input!G61</f>
        <v>0</v>
      </c>
    </row>
    <row r="220" spans="1:7">
      <c r="A220" s="29">
        <v>40</v>
      </c>
      <c r="B220" s="21" t="s">
        <v>38</v>
      </c>
      <c r="C220" s="21" t="s">
        <v>39</v>
      </c>
      <c r="D220" s="33">
        <v>58.12</v>
      </c>
      <c r="E220" s="10">
        <f>Input!E62</f>
        <v>0</v>
      </c>
      <c r="F220" s="10">
        <f>Input!F62</f>
        <v>0</v>
      </c>
      <c r="G220" s="10">
        <f>Input!G62</f>
        <v>0</v>
      </c>
    </row>
    <row r="221" spans="1:7">
      <c r="A221" s="29">
        <v>70</v>
      </c>
      <c r="B221" s="21" t="s">
        <v>43</v>
      </c>
      <c r="C221" s="21" t="s">
        <v>42</v>
      </c>
      <c r="D221" s="33">
        <v>72.146000000000001</v>
      </c>
      <c r="E221" s="10">
        <f>Input!E63</f>
        <v>0</v>
      </c>
      <c r="F221" s="10">
        <f>Input!F63</f>
        <v>0</v>
      </c>
      <c r="G221" s="10">
        <f>Input!G63</f>
        <v>0</v>
      </c>
    </row>
    <row r="222" spans="1:7">
      <c r="A222" s="29">
        <v>60</v>
      </c>
      <c r="B222" s="21" t="s">
        <v>41</v>
      </c>
      <c r="C222" s="21" t="s">
        <v>42</v>
      </c>
      <c r="D222" s="33">
        <v>72.146000000000001</v>
      </c>
      <c r="E222" s="10">
        <f>Input!E64</f>
        <v>0</v>
      </c>
      <c r="F222" s="10">
        <f>Input!F64</f>
        <v>0</v>
      </c>
      <c r="G222" s="10">
        <f>Input!G64</f>
        <v>0</v>
      </c>
    </row>
    <row r="223" spans="1:7">
      <c r="A223" s="29">
        <v>449</v>
      </c>
      <c r="B223" s="21" t="s">
        <v>464</v>
      </c>
      <c r="C223" s="21" t="s">
        <v>463</v>
      </c>
      <c r="D223" s="33">
        <v>70.134</v>
      </c>
      <c r="E223" s="10">
        <f>Input!E65</f>
        <v>0</v>
      </c>
      <c r="F223" s="10">
        <f>Input!F65</f>
        <v>0</v>
      </c>
      <c r="G223" s="10">
        <f>Input!G65</f>
        <v>0</v>
      </c>
    </row>
    <row r="224" spans="1:7">
      <c r="A224" s="29">
        <v>80</v>
      </c>
      <c r="B224" s="21" t="s">
        <v>44</v>
      </c>
      <c r="C224" s="21" t="s">
        <v>42</v>
      </c>
      <c r="D224" s="33">
        <v>72.146000000000001</v>
      </c>
      <c r="E224" s="10">
        <f>Input!E66</f>
        <v>0</v>
      </c>
      <c r="F224" s="10">
        <f>Input!F66</f>
        <v>0</v>
      </c>
      <c r="G224" s="10">
        <f>Input!G66</f>
        <v>0</v>
      </c>
    </row>
    <row r="225" spans="1:7">
      <c r="A225" s="29">
        <v>480</v>
      </c>
      <c r="B225" s="21" t="s">
        <v>45</v>
      </c>
      <c r="C225" s="21" t="s">
        <v>46</v>
      </c>
      <c r="D225" s="33">
        <v>78.108000000000004</v>
      </c>
      <c r="E225" s="10">
        <f>Input!E67</f>
        <v>0</v>
      </c>
      <c r="F225" s="10">
        <f>Input!F67</f>
        <v>0</v>
      </c>
      <c r="G225" s="10">
        <f>Input!G67</f>
        <v>0</v>
      </c>
    </row>
    <row r="226" spans="1:7">
      <c r="A226" s="29">
        <v>90</v>
      </c>
      <c r="B226" s="21" t="s">
        <v>47</v>
      </c>
      <c r="C226" s="21" t="s">
        <v>48</v>
      </c>
      <c r="D226" s="33">
        <v>86.171999999999997</v>
      </c>
      <c r="E226" s="10">
        <f>Input!E68</f>
        <v>0</v>
      </c>
      <c r="F226" s="10">
        <f>Input!F68</f>
        <v>0</v>
      </c>
      <c r="G226" s="10">
        <f>Input!G68</f>
        <v>0</v>
      </c>
    </row>
    <row r="227" spans="1:7">
      <c r="A227" s="29">
        <v>450</v>
      </c>
      <c r="B227" s="21" t="s">
        <v>460</v>
      </c>
      <c r="C227" s="21" t="s">
        <v>465</v>
      </c>
      <c r="D227" s="33">
        <v>84.162000000000006</v>
      </c>
      <c r="E227" s="10">
        <f>Input!E69</f>
        <v>0</v>
      </c>
      <c r="F227" s="10">
        <f>Input!F69</f>
        <v>0</v>
      </c>
      <c r="G227" s="10">
        <f>Input!G69</f>
        <v>0</v>
      </c>
    </row>
    <row r="228" spans="1:7">
      <c r="A228" s="29">
        <v>140</v>
      </c>
      <c r="B228" s="21" t="s">
        <v>49</v>
      </c>
      <c r="C228" s="21" t="s">
        <v>50</v>
      </c>
      <c r="D228" s="33">
        <v>100.19799999999999</v>
      </c>
      <c r="E228" s="10">
        <f>Input!E70</f>
        <v>0</v>
      </c>
      <c r="F228" s="10">
        <f>Input!F70</f>
        <v>0</v>
      </c>
      <c r="G228" s="10">
        <f>Input!G70</f>
        <v>0</v>
      </c>
    </row>
    <row r="229" spans="1:7">
      <c r="A229" s="29">
        <v>150</v>
      </c>
      <c r="B229" s="49" t="s">
        <v>333</v>
      </c>
      <c r="C229" s="49" t="s">
        <v>334</v>
      </c>
      <c r="D229">
        <v>114.232</v>
      </c>
      <c r="E229" s="10">
        <f>Input!E71</f>
        <v>0</v>
      </c>
      <c r="F229" s="10">
        <f>Input!F71</f>
        <v>0</v>
      </c>
      <c r="G229" s="10">
        <f>Input!G71</f>
        <v>0</v>
      </c>
    </row>
    <row r="230" spans="1:7">
      <c r="A230" s="29">
        <v>160</v>
      </c>
      <c r="B230" s="49" t="s">
        <v>335</v>
      </c>
      <c r="C230" s="49" t="s">
        <v>339</v>
      </c>
      <c r="D230">
        <v>128.25899999999999</v>
      </c>
      <c r="E230" s="10">
        <f>Input!E72</f>
        <v>0</v>
      </c>
      <c r="F230" s="10">
        <f>Input!F72</f>
        <v>0</v>
      </c>
      <c r="G230" s="10">
        <f>Input!G72</f>
        <v>0</v>
      </c>
    </row>
    <row r="231" spans="1:7">
      <c r="A231" s="29">
        <v>170</v>
      </c>
      <c r="B231" s="49" t="s">
        <v>336</v>
      </c>
      <c r="C231" s="49" t="s">
        <v>340</v>
      </c>
      <c r="D231">
        <v>142.286</v>
      </c>
      <c r="E231" s="10">
        <f>Input!E73</f>
        <v>0</v>
      </c>
      <c r="F231" s="10">
        <f>Input!F73</f>
        <v>0</v>
      </c>
      <c r="G231" s="10">
        <f>Input!G73</f>
        <v>0</v>
      </c>
    </row>
    <row r="232" spans="1:7">
      <c r="A232" s="29">
        <v>180</v>
      </c>
      <c r="B232" s="49" t="s">
        <v>337</v>
      </c>
      <c r="C232" s="49" t="s">
        <v>341</v>
      </c>
      <c r="D232">
        <v>156.31299999999999</v>
      </c>
      <c r="E232" s="10">
        <f>Input!E74</f>
        <v>0</v>
      </c>
      <c r="F232" s="10">
        <f>Input!F74</f>
        <v>0</v>
      </c>
      <c r="G232" s="10">
        <f>Input!G74</f>
        <v>0</v>
      </c>
    </row>
    <row r="233" spans="1:7">
      <c r="A233" s="29">
        <v>190</v>
      </c>
      <c r="B233" s="49" t="s">
        <v>338</v>
      </c>
      <c r="C233" s="49" t="s">
        <v>342</v>
      </c>
      <c r="D233">
        <v>170.34</v>
      </c>
      <c r="E233" s="10">
        <f>Input!E75</f>
        <v>0</v>
      </c>
      <c r="F233" s="10">
        <f>Input!F75</f>
        <v>0</v>
      </c>
      <c r="G233" s="10">
        <f>Input!G75</f>
        <v>0</v>
      </c>
    </row>
    <row r="234" spans="1:7">
      <c r="A234" s="29">
        <v>360</v>
      </c>
      <c r="B234" s="264" t="s">
        <v>466</v>
      </c>
      <c r="C234" s="233" t="s">
        <v>467</v>
      </c>
      <c r="D234" s="83">
        <v>54.091999999999999</v>
      </c>
      <c r="E234" s="10">
        <f>Input!E77</f>
        <v>0</v>
      </c>
      <c r="F234" s="10">
        <f>Input!F77</f>
        <v>0</v>
      </c>
      <c r="G234" s="10">
        <f>Input!G77</f>
        <v>0</v>
      </c>
    </row>
    <row r="235" spans="1:7">
      <c r="A235" s="29">
        <v>656</v>
      </c>
      <c r="B235" s="264" t="s">
        <v>468</v>
      </c>
      <c r="C235" s="233" t="s">
        <v>469</v>
      </c>
      <c r="D235" s="83">
        <v>98.96</v>
      </c>
      <c r="E235" s="10">
        <f>Input!E78</f>
        <v>0</v>
      </c>
      <c r="F235" s="10">
        <f>Input!F78</f>
        <v>0</v>
      </c>
      <c r="G235" s="10">
        <f>Input!G78</f>
        <v>0</v>
      </c>
    </row>
    <row r="236" spans="1:7">
      <c r="A236" s="29">
        <v>370</v>
      </c>
      <c r="B236" s="264" t="s">
        <v>470</v>
      </c>
      <c r="C236" s="233" t="s">
        <v>472</v>
      </c>
      <c r="D236" s="83">
        <v>54.091999999999999</v>
      </c>
      <c r="E236" s="10">
        <f>Input!E79</f>
        <v>0</v>
      </c>
      <c r="F236" s="10">
        <f>Input!F79</f>
        <v>0</v>
      </c>
      <c r="G236" s="10">
        <f>Input!G79</f>
        <v>0</v>
      </c>
    </row>
    <row r="237" spans="1:7">
      <c r="A237" s="29">
        <v>340</v>
      </c>
      <c r="B237" s="264" t="s">
        <v>473</v>
      </c>
      <c r="C237" s="233" t="s">
        <v>474</v>
      </c>
      <c r="D237" s="83">
        <v>98.188999999999993</v>
      </c>
      <c r="E237" s="10">
        <f>Input!E80</f>
        <v>0</v>
      </c>
      <c r="F237" s="10">
        <f>Input!F80</f>
        <v>0</v>
      </c>
      <c r="G237" s="10">
        <f>Input!G80</f>
        <v>0</v>
      </c>
    </row>
    <row r="238" spans="1:7">
      <c r="A238" s="29">
        <v>330</v>
      </c>
      <c r="B238" s="264" t="s">
        <v>475</v>
      </c>
      <c r="C238" s="233" t="s">
        <v>476</v>
      </c>
      <c r="D238" s="83">
        <v>84.162000000000006</v>
      </c>
      <c r="E238" s="10">
        <f>Input!E81</f>
        <v>0</v>
      </c>
      <c r="F238" s="10">
        <f>Input!F81</f>
        <v>0</v>
      </c>
      <c r="G238" s="10">
        <f>Input!G81</f>
        <v>0</v>
      </c>
    </row>
    <row r="239" spans="1:7">
      <c r="A239" s="29">
        <v>270</v>
      </c>
      <c r="B239" s="264" t="s">
        <v>477</v>
      </c>
      <c r="C239" s="233" t="s">
        <v>478</v>
      </c>
      <c r="D239" s="83">
        <v>70.135000000000005</v>
      </c>
      <c r="E239" s="10">
        <f>Input!E82</f>
        <v>0</v>
      </c>
      <c r="F239" s="10">
        <f>Input!F82</f>
        <v>0</v>
      </c>
      <c r="G239" s="10">
        <f>Input!G82</f>
        <v>0</v>
      </c>
    </row>
    <row r="240" spans="1:7">
      <c r="A240" s="29">
        <v>120</v>
      </c>
      <c r="B240" s="264" t="s">
        <v>479</v>
      </c>
      <c r="C240" s="233" t="s">
        <v>480</v>
      </c>
      <c r="D240" s="83">
        <v>86.177999999999997</v>
      </c>
      <c r="E240" s="10">
        <f>Input!E83</f>
        <v>0</v>
      </c>
      <c r="F240" s="10">
        <f>Input!F83</f>
        <v>0</v>
      </c>
      <c r="G240" s="10">
        <f>Input!G83</f>
        <v>0</v>
      </c>
    </row>
    <row r="241" spans="1:7">
      <c r="A241" s="29">
        <v>130</v>
      </c>
      <c r="B241" s="264" t="s">
        <v>481</v>
      </c>
      <c r="C241" s="233" t="s">
        <v>482</v>
      </c>
      <c r="D241" s="83">
        <v>86.177999999999997</v>
      </c>
      <c r="E241" s="10">
        <f>Input!E84</f>
        <v>0</v>
      </c>
      <c r="F241" s="10">
        <f>Input!F84</f>
        <v>0</v>
      </c>
      <c r="G241" s="10">
        <f>Input!G84</f>
        <v>0</v>
      </c>
    </row>
    <row r="242" spans="1:7">
      <c r="A242" s="29">
        <v>300</v>
      </c>
      <c r="B242" s="264" t="s">
        <v>483</v>
      </c>
      <c r="C242" s="233" t="s">
        <v>484</v>
      </c>
      <c r="D242" s="83">
        <v>70.135000000000005</v>
      </c>
      <c r="E242" s="10">
        <f>Input!E85</f>
        <v>0</v>
      </c>
      <c r="F242" s="10">
        <f>Input!F85</f>
        <v>0</v>
      </c>
      <c r="G242" s="10">
        <f>Input!G85</f>
        <v>0</v>
      </c>
    </row>
    <row r="243" spans="1:7">
      <c r="A243" s="29">
        <v>320</v>
      </c>
      <c r="B243" s="264" t="s">
        <v>485</v>
      </c>
      <c r="C243" s="233" t="s">
        <v>486</v>
      </c>
      <c r="D243" s="83">
        <v>70.135000000000005</v>
      </c>
      <c r="E243" s="10">
        <f>Input!E86</f>
        <v>0</v>
      </c>
      <c r="F243" s="10">
        <f>Input!F86</f>
        <v>0</v>
      </c>
      <c r="G243" s="10">
        <f>Input!G86</f>
        <v>0</v>
      </c>
    </row>
    <row r="244" spans="1:7">
      <c r="A244" s="29">
        <v>100</v>
      </c>
      <c r="B244" s="264" t="s">
        <v>487</v>
      </c>
      <c r="C244" s="233" t="s">
        <v>488</v>
      </c>
      <c r="D244" s="83">
        <v>86.177999999999997</v>
      </c>
      <c r="E244" s="10">
        <f>Input!E87</f>
        <v>0</v>
      </c>
      <c r="F244" s="10">
        <f>Input!F87</f>
        <v>0</v>
      </c>
      <c r="G244" s="10">
        <f>Input!G87</f>
        <v>0</v>
      </c>
    </row>
    <row r="245" spans="1:7">
      <c r="A245" s="29">
        <v>310</v>
      </c>
      <c r="B245" s="264" t="s">
        <v>489</v>
      </c>
      <c r="C245" s="233" t="s">
        <v>490</v>
      </c>
      <c r="D245" s="83">
        <v>70.135000000000005</v>
      </c>
      <c r="E245" s="10">
        <f>Input!E88</f>
        <v>0</v>
      </c>
      <c r="F245" s="10">
        <f>Input!F88</f>
        <v>0</v>
      </c>
      <c r="G245" s="10">
        <f>Input!G88</f>
        <v>0</v>
      </c>
    </row>
    <row r="246" spans="1:7">
      <c r="A246" s="29">
        <v>110</v>
      </c>
      <c r="B246" s="264" t="s">
        <v>491</v>
      </c>
      <c r="C246" s="233" t="s">
        <v>492</v>
      </c>
      <c r="D246" s="83">
        <v>86.177999999999997</v>
      </c>
      <c r="E246" s="10">
        <f>Input!E89</f>
        <v>0</v>
      </c>
      <c r="F246" s="10">
        <f>Input!F89</f>
        <v>0</v>
      </c>
      <c r="G246" s="10">
        <f>Input!G89</f>
        <v>0</v>
      </c>
    </row>
    <row r="247" spans="1:7">
      <c r="A247" s="29">
        <v>331</v>
      </c>
      <c r="B247" s="264" t="s">
        <v>493</v>
      </c>
      <c r="C247" s="233" t="s">
        <v>494</v>
      </c>
      <c r="D247" s="83">
        <v>84.162000000000006</v>
      </c>
      <c r="E247" s="10">
        <f>Input!E90</f>
        <v>0</v>
      </c>
      <c r="F247" s="10">
        <f>Input!F90</f>
        <v>0</v>
      </c>
      <c r="G247" s="10">
        <f>Input!G90</f>
        <v>0</v>
      </c>
    </row>
    <row r="248" spans="1:7">
      <c r="A248" s="29">
        <v>620</v>
      </c>
      <c r="B248" s="264" t="s">
        <v>495</v>
      </c>
      <c r="C248" s="233" t="s">
        <v>496</v>
      </c>
      <c r="D248" s="83">
        <v>72.063999999999993</v>
      </c>
      <c r="E248" s="10">
        <f>Input!E91</f>
        <v>0</v>
      </c>
      <c r="F248" s="10">
        <f>Input!F91</f>
        <v>0</v>
      </c>
      <c r="G248" s="10">
        <f>Input!G91</f>
        <v>0</v>
      </c>
    </row>
    <row r="249" spans="1:7">
      <c r="A249" s="29">
        <v>730</v>
      </c>
      <c r="B249" s="264" t="s">
        <v>497</v>
      </c>
      <c r="C249" s="233" t="s">
        <v>498</v>
      </c>
      <c r="D249" s="83">
        <v>39.948</v>
      </c>
      <c r="E249" s="10">
        <f>Input!E92</f>
        <v>0</v>
      </c>
      <c r="F249" s="10">
        <f>Input!F92</f>
        <v>0</v>
      </c>
      <c r="G249" s="10">
        <f>Input!G92</f>
        <v>0</v>
      </c>
    </row>
    <row r="250" spans="1:7">
      <c r="A250" s="29">
        <v>835</v>
      </c>
      <c r="B250" s="264" t="s">
        <v>499</v>
      </c>
      <c r="C250" s="233" t="s">
        <v>500</v>
      </c>
      <c r="D250" s="83">
        <v>60.07</v>
      </c>
      <c r="E250" s="10">
        <f>Input!E93</f>
        <v>0</v>
      </c>
      <c r="F250" s="10">
        <f>Input!F93</f>
        <v>0</v>
      </c>
      <c r="G250" s="10">
        <f>Input!G93</f>
        <v>0</v>
      </c>
    </row>
    <row r="251" spans="1:7">
      <c r="A251" s="29">
        <v>761</v>
      </c>
      <c r="B251" s="264" t="s">
        <v>501</v>
      </c>
      <c r="C251" s="233" t="s">
        <v>502</v>
      </c>
      <c r="D251" s="83">
        <v>70.906000000000006</v>
      </c>
      <c r="E251" s="10">
        <f>Input!E94</f>
        <v>0</v>
      </c>
      <c r="F251" s="10">
        <f>Input!F94</f>
        <v>0</v>
      </c>
      <c r="G251" s="10">
        <f>Input!G94</f>
        <v>0</v>
      </c>
    </row>
    <row r="252" spans="1:7">
      <c r="A252" s="29">
        <v>240</v>
      </c>
      <c r="B252" s="264" t="s">
        <v>503</v>
      </c>
      <c r="C252" s="233" t="s">
        <v>504</v>
      </c>
      <c r="D252" s="83">
        <v>56.107999999999997</v>
      </c>
      <c r="E252" s="10">
        <f>Input!E95</f>
        <v>0</v>
      </c>
      <c r="F252" s="10">
        <f>Input!F95</f>
        <v>0</v>
      </c>
      <c r="G252" s="10">
        <f>Input!G95</f>
        <v>0</v>
      </c>
    </row>
    <row r="253" spans="1:7">
      <c r="A253" s="29">
        <v>280</v>
      </c>
      <c r="B253" s="264" t="s">
        <v>505</v>
      </c>
      <c r="C253" s="233" t="s">
        <v>506</v>
      </c>
      <c r="D253" s="83">
        <v>70.135000000000005</v>
      </c>
      <c r="E253" s="10">
        <f>Input!E96</f>
        <v>0</v>
      </c>
      <c r="F253" s="10">
        <f>Input!F96</f>
        <v>0</v>
      </c>
      <c r="G253" s="10">
        <f>Input!G96</f>
        <v>0</v>
      </c>
    </row>
    <row r="254" spans="1:7">
      <c r="A254" s="29">
        <v>651</v>
      </c>
      <c r="B254" s="264" t="s">
        <v>507</v>
      </c>
      <c r="C254" s="233" t="s">
        <v>508</v>
      </c>
      <c r="D254" s="83">
        <v>84.933000000000007</v>
      </c>
      <c r="E254" s="10">
        <f>Input!E97</f>
        <v>0</v>
      </c>
      <c r="F254" s="10">
        <f>Input!F97</f>
        <v>0</v>
      </c>
      <c r="G254" s="10">
        <f>Input!G97</f>
        <v>0</v>
      </c>
    </row>
    <row r="255" spans="1:7">
      <c r="A255" s="29">
        <v>553</v>
      </c>
      <c r="B255" s="264" t="s">
        <v>509</v>
      </c>
      <c r="C255" s="233" t="s">
        <v>510</v>
      </c>
      <c r="D255" s="83">
        <v>90.183999999999997</v>
      </c>
      <c r="E255" s="10">
        <f>Input!E98</f>
        <v>0</v>
      </c>
      <c r="F255" s="10">
        <f>Input!F98</f>
        <v>0</v>
      </c>
      <c r="G255" s="10">
        <f>Input!G98</f>
        <v>0</v>
      </c>
    </row>
    <row r="256" spans="1:7">
      <c r="A256" s="29">
        <v>680</v>
      </c>
      <c r="B256" s="264" t="s">
        <v>511</v>
      </c>
      <c r="C256" s="233" t="s">
        <v>512</v>
      </c>
      <c r="D256" s="83">
        <v>52.024000000000001</v>
      </c>
      <c r="E256" s="10">
        <f>Input!E99</f>
        <v>0</v>
      </c>
      <c r="F256" s="10">
        <f>Input!F99</f>
        <v>0</v>
      </c>
      <c r="G256" s="10">
        <f>Input!G99</f>
        <v>0</v>
      </c>
    </row>
    <row r="257" spans="1:7">
      <c r="A257" s="29">
        <v>654</v>
      </c>
      <c r="B257" s="264" t="s">
        <v>513</v>
      </c>
      <c r="C257" s="233" t="s">
        <v>514</v>
      </c>
      <c r="D257" s="83">
        <v>112.98699999999999</v>
      </c>
      <c r="E257" s="10">
        <f>Input!E100</f>
        <v>0</v>
      </c>
      <c r="F257" s="10">
        <f>Input!F100</f>
        <v>0</v>
      </c>
      <c r="G257" s="10">
        <f>Input!G100</f>
        <v>0</v>
      </c>
    </row>
    <row r="258" spans="1:7">
      <c r="A258" s="29">
        <v>570</v>
      </c>
      <c r="B258" s="264" t="s">
        <v>515</v>
      </c>
      <c r="C258" s="233" t="s">
        <v>516</v>
      </c>
      <c r="D258" s="83">
        <v>46.069000000000003</v>
      </c>
      <c r="E258" s="10">
        <f>Input!E101</f>
        <v>0</v>
      </c>
      <c r="F258" s="10">
        <f>Input!F101</f>
        <v>0</v>
      </c>
      <c r="G258" s="10">
        <f>Input!G101</f>
        <v>0</v>
      </c>
    </row>
    <row r="259" spans="1:7">
      <c r="A259" s="29">
        <v>622</v>
      </c>
      <c r="B259" s="264" t="s">
        <v>517</v>
      </c>
      <c r="C259" s="233" t="s">
        <v>518</v>
      </c>
      <c r="D259" s="83">
        <v>100.11799999999999</v>
      </c>
      <c r="E259" s="10">
        <f>Input!E102</f>
        <v>0</v>
      </c>
      <c r="F259" s="10">
        <f>Input!F102</f>
        <v>0</v>
      </c>
      <c r="G259" s="10">
        <f>Input!G102</f>
        <v>0</v>
      </c>
    </row>
    <row r="260" spans="1:7">
      <c r="A260" s="29">
        <v>530</v>
      </c>
      <c r="B260" s="264" t="s">
        <v>519</v>
      </c>
      <c r="C260" s="233" t="s">
        <v>520</v>
      </c>
      <c r="D260" s="83">
        <v>106.16800000000001</v>
      </c>
      <c r="E260" s="10">
        <f>Input!E103</f>
        <v>0</v>
      </c>
      <c r="F260" s="10">
        <f>Input!F103</f>
        <v>0</v>
      </c>
      <c r="G260" s="10">
        <f>Input!G103</f>
        <v>0</v>
      </c>
    </row>
    <row r="261" spans="1:7">
      <c r="A261" s="29">
        <v>880</v>
      </c>
      <c r="B261" s="264" t="s">
        <v>521</v>
      </c>
      <c r="C261" s="233" t="s">
        <v>522</v>
      </c>
      <c r="D261" s="83">
        <v>44.052999999999997</v>
      </c>
      <c r="E261" s="10">
        <f>Input!E104</f>
        <v>0</v>
      </c>
      <c r="F261" s="10">
        <f>Input!F104</f>
        <v>0</v>
      </c>
      <c r="G261" s="10">
        <f>Input!G104</f>
        <v>0</v>
      </c>
    </row>
    <row r="262" spans="1:7">
      <c r="A262" s="29">
        <v>551</v>
      </c>
      <c r="B262" s="264" t="s">
        <v>523</v>
      </c>
      <c r="C262" s="233" t="s">
        <v>524</v>
      </c>
      <c r="D262" s="83">
        <v>62.134</v>
      </c>
      <c r="E262" s="10">
        <f>Input!E105</f>
        <v>0</v>
      </c>
      <c r="F262" s="10">
        <f>Input!F105</f>
        <v>0</v>
      </c>
      <c r="G262" s="10">
        <f>Input!G105</f>
        <v>0</v>
      </c>
    </row>
    <row r="263" spans="1:7">
      <c r="A263" s="29">
        <v>710</v>
      </c>
      <c r="B263" s="264" t="s">
        <v>525</v>
      </c>
      <c r="C263" s="233" t="s">
        <v>526</v>
      </c>
      <c r="D263" s="83">
        <v>170.922</v>
      </c>
      <c r="E263" s="10">
        <f>Input!E106</f>
        <v>0</v>
      </c>
      <c r="F263" s="10">
        <f>Input!F106</f>
        <v>0</v>
      </c>
      <c r="G263" s="10">
        <f>Input!G106</f>
        <v>0</v>
      </c>
    </row>
    <row r="264" spans="1:7">
      <c r="A264" s="29">
        <v>660</v>
      </c>
      <c r="B264" s="264" t="s">
        <v>527</v>
      </c>
      <c r="C264" s="233" t="s">
        <v>528</v>
      </c>
      <c r="D264" s="83">
        <v>120.914</v>
      </c>
      <c r="E264" s="10">
        <f>Input!E107</f>
        <v>0</v>
      </c>
      <c r="F264" s="10">
        <f>Input!F107</f>
        <v>0</v>
      </c>
      <c r="G264" s="10">
        <f>Input!G107</f>
        <v>0</v>
      </c>
    </row>
    <row r="265" spans="1:7">
      <c r="A265" s="29">
        <v>670</v>
      </c>
      <c r="B265" s="264" t="s">
        <v>529</v>
      </c>
      <c r="C265" s="233" t="s">
        <v>530</v>
      </c>
      <c r="D265" s="83">
        <v>104.459</v>
      </c>
      <c r="E265" s="10">
        <f>Input!E108</f>
        <v>0</v>
      </c>
      <c r="F265" s="10">
        <f>Input!F108</f>
        <v>0</v>
      </c>
      <c r="G265" s="10">
        <f>Input!G108</f>
        <v>0</v>
      </c>
    </row>
    <row r="266" spans="1:7">
      <c r="A266" s="29">
        <v>690</v>
      </c>
      <c r="B266" s="264" t="s">
        <v>531</v>
      </c>
      <c r="C266" s="233" t="s">
        <v>532</v>
      </c>
      <c r="D266" s="83">
        <v>86.468999999999994</v>
      </c>
      <c r="E266" s="10">
        <f>Input!E109</f>
        <v>0</v>
      </c>
      <c r="F266" s="10">
        <f>Input!F109</f>
        <v>0</v>
      </c>
      <c r="G266" s="10">
        <f>Input!G109</f>
        <v>0</v>
      </c>
    </row>
    <row r="267" spans="1:7">
      <c r="A267" s="29">
        <v>720</v>
      </c>
      <c r="B267" s="264" t="s">
        <v>533</v>
      </c>
      <c r="C267" s="233" t="s">
        <v>237</v>
      </c>
      <c r="D267" s="83">
        <v>4.0030000000000001</v>
      </c>
      <c r="E267" s="10">
        <f>Input!E110</f>
        <v>0</v>
      </c>
      <c r="F267" s="10">
        <f>Input!F110</f>
        <v>0</v>
      </c>
      <c r="G267" s="10">
        <f>Input!G110</f>
        <v>0</v>
      </c>
    </row>
    <row r="268" spans="1:7">
      <c r="A268" s="29">
        <v>882</v>
      </c>
      <c r="B268" s="264" t="s">
        <v>534</v>
      </c>
      <c r="C268" s="233" t="s">
        <v>535</v>
      </c>
      <c r="D268" s="83">
        <v>36.460999999999999</v>
      </c>
      <c r="E268" s="10">
        <f>Input!E111</f>
        <v>0</v>
      </c>
      <c r="F268" s="10">
        <f>Input!F111</f>
        <v>0</v>
      </c>
      <c r="G268" s="10">
        <f>Input!G111</f>
        <v>0</v>
      </c>
    </row>
    <row r="269" spans="1:7">
      <c r="A269" s="29">
        <v>653</v>
      </c>
      <c r="B269" s="264" t="s">
        <v>536</v>
      </c>
      <c r="C269" s="233" t="s">
        <v>537</v>
      </c>
      <c r="D269" s="83">
        <v>78.542000000000002</v>
      </c>
      <c r="E269" s="10">
        <f>Input!E112</f>
        <v>0</v>
      </c>
      <c r="F269" s="10">
        <f>Input!F112</f>
        <v>0</v>
      </c>
      <c r="G269" s="10">
        <f>Input!G112</f>
        <v>0</v>
      </c>
    </row>
    <row r="270" spans="1:7">
      <c r="A270" s="29">
        <v>575</v>
      </c>
      <c r="B270" s="264" t="s">
        <v>538</v>
      </c>
      <c r="C270" s="233" t="s">
        <v>539</v>
      </c>
      <c r="D270" s="83">
        <v>74.123000000000005</v>
      </c>
      <c r="E270" s="10">
        <f>Input!E113</f>
        <v>0</v>
      </c>
      <c r="F270" s="10">
        <f>Input!F113</f>
        <v>0</v>
      </c>
      <c r="G270" s="10">
        <f>Input!G113</f>
        <v>0</v>
      </c>
    </row>
    <row r="271" spans="1:7">
      <c r="A271" s="29">
        <v>331</v>
      </c>
      <c r="B271" s="264" t="s">
        <v>540</v>
      </c>
      <c r="C271" s="233" t="s">
        <v>494</v>
      </c>
      <c r="D271" s="83">
        <v>84.162000000000006</v>
      </c>
      <c r="E271" s="10">
        <f>Input!E114</f>
        <v>0</v>
      </c>
      <c r="F271" s="10">
        <f>Input!F114</f>
        <v>0</v>
      </c>
      <c r="G271" s="10">
        <f>Input!G114</f>
        <v>0</v>
      </c>
    </row>
    <row r="272" spans="1:7">
      <c r="A272" s="29">
        <v>572</v>
      </c>
      <c r="B272" s="264" t="s">
        <v>541</v>
      </c>
      <c r="C272" s="233" t="s">
        <v>542</v>
      </c>
      <c r="D272" s="83">
        <v>60.095999999999997</v>
      </c>
      <c r="E272" s="10">
        <f>Input!E115</f>
        <v>0</v>
      </c>
      <c r="F272" s="10">
        <f>Input!F115</f>
        <v>0</v>
      </c>
      <c r="G272" s="10">
        <f>Input!G115</f>
        <v>0</v>
      </c>
    </row>
    <row r="273" spans="1:7">
      <c r="A273" s="29">
        <v>560</v>
      </c>
      <c r="B273" s="264" t="s">
        <v>543</v>
      </c>
      <c r="C273" s="233" t="s">
        <v>544</v>
      </c>
      <c r="D273" s="83">
        <v>32.042000000000002</v>
      </c>
      <c r="E273" s="10">
        <f>Input!E116</f>
        <v>0</v>
      </c>
      <c r="F273" s="10">
        <f>Input!F116</f>
        <v>0</v>
      </c>
      <c r="G273" s="10">
        <f>Input!G116</f>
        <v>0</v>
      </c>
    </row>
    <row r="274" spans="1:7">
      <c r="A274" s="29">
        <v>621</v>
      </c>
      <c r="B274" s="264" t="s">
        <v>545</v>
      </c>
      <c r="C274" s="233" t="s">
        <v>546</v>
      </c>
      <c r="D274" s="83">
        <v>86.090999999999994</v>
      </c>
      <c r="E274" s="10">
        <f>Input!E117</f>
        <v>0</v>
      </c>
      <c r="F274" s="10">
        <f>Input!F117</f>
        <v>0</v>
      </c>
      <c r="G274" s="10">
        <f>Input!G117</f>
        <v>0</v>
      </c>
    </row>
    <row r="275" spans="1:7">
      <c r="A275" s="29">
        <v>650</v>
      </c>
      <c r="B275" s="264" t="s">
        <v>547</v>
      </c>
      <c r="C275" s="233" t="s">
        <v>548</v>
      </c>
      <c r="D275" s="83">
        <v>50.488</v>
      </c>
      <c r="E275" s="10">
        <f>Input!E118</f>
        <v>0</v>
      </c>
      <c r="F275" s="10">
        <f>Input!F118</f>
        <v>0</v>
      </c>
      <c r="G275" s="10">
        <f>Input!G118</f>
        <v>0</v>
      </c>
    </row>
    <row r="276" spans="1:7">
      <c r="A276" s="29">
        <v>609</v>
      </c>
      <c r="B276" s="264" t="s">
        <v>549</v>
      </c>
      <c r="C276" s="233" t="s">
        <v>550</v>
      </c>
      <c r="D276" s="83">
        <v>74.08</v>
      </c>
      <c r="E276" s="10">
        <f>Input!E119</f>
        <v>0</v>
      </c>
      <c r="F276" s="10">
        <f>Input!F119</f>
        <v>0</v>
      </c>
      <c r="G276" s="10">
        <f>Input!G119</f>
        <v>0</v>
      </c>
    </row>
    <row r="277" spans="1:7">
      <c r="A277" s="29">
        <v>390</v>
      </c>
      <c r="B277" s="264" t="s">
        <v>551</v>
      </c>
      <c r="C277" s="233" t="s">
        <v>552</v>
      </c>
      <c r="D277" s="83">
        <v>40.064999999999998</v>
      </c>
      <c r="E277" s="10">
        <f>Input!E120</f>
        <v>0</v>
      </c>
      <c r="F277" s="10">
        <f>Input!F120</f>
        <v>0</v>
      </c>
      <c r="G277" s="10">
        <f>Input!G120</f>
        <v>0</v>
      </c>
    </row>
    <row r="278" spans="1:7">
      <c r="A278" s="29">
        <v>600</v>
      </c>
      <c r="B278" s="264" t="s">
        <v>553</v>
      </c>
      <c r="C278" s="233" t="s">
        <v>554</v>
      </c>
      <c r="D278" s="83">
        <v>72.106999999999999</v>
      </c>
      <c r="E278" s="10">
        <f>Input!E121</f>
        <v>0</v>
      </c>
      <c r="F278" s="10">
        <f>Input!F121</f>
        <v>0</v>
      </c>
      <c r="G278" s="10">
        <f>Input!G121</f>
        <v>0</v>
      </c>
    </row>
    <row r="279" spans="1:7">
      <c r="A279" s="29">
        <v>552</v>
      </c>
      <c r="B279" s="264" t="s">
        <v>555</v>
      </c>
      <c r="C279" s="233" t="s">
        <v>556</v>
      </c>
      <c r="D279" s="83">
        <v>76.156999999999996</v>
      </c>
      <c r="E279" s="10">
        <f>Input!E122</f>
        <v>0</v>
      </c>
      <c r="F279" s="10">
        <f>Input!F122</f>
        <v>0</v>
      </c>
      <c r="G279" s="10">
        <f>Input!G122</f>
        <v>0</v>
      </c>
    </row>
    <row r="280" spans="1:7">
      <c r="A280" s="29">
        <v>550</v>
      </c>
      <c r="B280" s="264" t="s">
        <v>557</v>
      </c>
      <c r="C280" s="233" t="s">
        <v>558</v>
      </c>
      <c r="D280" s="83">
        <v>48.106999999999999</v>
      </c>
      <c r="E280" s="10">
        <f>Input!E123</f>
        <v>0</v>
      </c>
      <c r="F280" s="10">
        <f>Input!F123</f>
        <v>0</v>
      </c>
      <c r="G280" s="10">
        <f>Input!G123</f>
        <v>0</v>
      </c>
    </row>
    <row r="281" spans="1:7">
      <c r="A281" s="29">
        <v>510</v>
      </c>
      <c r="B281" s="264" t="s">
        <v>559</v>
      </c>
      <c r="C281" s="233" t="s">
        <v>560</v>
      </c>
      <c r="D281" s="83">
        <v>106.16800000000001</v>
      </c>
      <c r="E281" s="10">
        <f>Input!E124</f>
        <v>0</v>
      </c>
      <c r="F281" s="10">
        <f>Input!F124</f>
        <v>0</v>
      </c>
      <c r="G281" s="10">
        <f>Input!G124</f>
        <v>0</v>
      </c>
    </row>
    <row r="282" spans="1:7">
      <c r="A282" s="29">
        <v>573</v>
      </c>
      <c r="B282" s="264" t="s">
        <v>561</v>
      </c>
      <c r="C282" s="233" t="s">
        <v>562</v>
      </c>
      <c r="D282" s="83">
        <v>74.123000000000005</v>
      </c>
      <c r="E282" s="10">
        <f>Input!E125</f>
        <v>0</v>
      </c>
      <c r="F282" s="10">
        <f>Input!F125</f>
        <v>0</v>
      </c>
      <c r="G282" s="10">
        <f>Input!G125</f>
        <v>0</v>
      </c>
    </row>
    <row r="283" spans="1:7">
      <c r="A283" s="29">
        <v>860</v>
      </c>
      <c r="B283" s="264" t="s">
        <v>563</v>
      </c>
      <c r="C283" s="233" t="s">
        <v>564</v>
      </c>
      <c r="D283" s="83">
        <v>30.006</v>
      </c>
      <c r="E283" s="10">
        <f>Input!E126</f>
        <v>0</v>
      </c>
      <c r="F283" s="10">
        <f>Input!F126</f>
        <v>0</v>
      </c>
      <c r="G283" s="10">
        <f>Input!G126</f>
        <v>0</v>
      </c>
    </row>
    <row r="284" spans="1:7">
      <c r="A284" s="29">
        <v>864</v>
      </c>
      <c r="B284" s="264" t="s">
        <v>565</v>
      </c>
      <c r="C284" s="233" t="s">
        <v>566</v>
      </c>
      <c r="D284" s="83">
        <v>46.006</v>
      </c>
      <c r="E284" s="10">
        <f>Input!E127</f>
        <v>0</v>
      </c>
      <c r="F284" s="10">
        <f>Input!F127</f>
        <v>0</v>
      </c>
      <c r="G284" s="10">
        <f>Input!G127</f>
        <v>0</v>
      </c>
    </row>
    <row r="285" spans="1:7">
      <c r="A285" s="29">
        <v>865</v>
      </c>
      <c r="B285" s="264" t="s">
        <v>567</v>
      </c>
      <c r="C285" s="233" t="s">
        <v>568</v>
      </c>
      <c r="D285" s="83">
        <v>92.010999999999996</v>
      </c>
      <c r="E285" s="10">
        <f>Input!E128</f>
        <v>0</v>
      </c>
      <c r="F285" s="10">
        <f>Input!F128</f>
        <v>0</v>
      </c>
      <c r="G285" s="10">
        <f>Input!G128</f>
        <v>0</v>
      </c>
    </row>
    <row r="286" spans="1:7">
      <c r="A286" s="29">
        <v>200</v>
      </c>
      <c r="B286" s="264" t="s">
        <v>569</v>
      </c>
      <c r="C286" s="233" t="s">
        <v>570</v>
      </c>
      <c r="D286" s="83">
        <v>184.36699999999999</v>
      </c>
      <c r="E286" s="10">
        <f>Input!E129</f>
        <v>0</v>
      </c>
      <c r="F286" s="10">
        <f>Input!F129</f>
        <v>0</v>
      </c>
      <c r="G286" s="10">
        <f>Input!G129</f>
        <v>0</v>
      </c>
    </row>
    <row r="287" spans="1:7">
      <c r="A287" s="29">
        <v>500</v>
      </c>
      <c r="B287" s="264" t="s">
        <v>571</v>
      </c>
      <c r="C287" s="233" t="s">
        <v>572</v>
      </c>
      <c r="D287" s="83">
        <v>106.16800000000001</v>
      </c>
      <c r="E287" s="10">
        <f>Input!E130</f>
        <v>0</v>
      </c>
      <c r="F287" s="10">
        <f>Input!F130</f>
        <v>0</v>
      </c>
      <c r="G287" s="10">
        <f>Input!G130</f>
        <v>0</v>
      </c>
    </row>
    <row r="288" spans="1:7">
      <c r="A288" s="29">
        <v>681</v>
      </c>
      <c r="B288" s="264" t="s">
        <v>573</v>
      </c>
      <c r="C288" s="233" t="s">
        <v>574</v>
      </c>
      <c r="D288" s="83">
        <v>120.02200000000001</v>
      </c>
      <c r="E288" s="10">
        <f>Input!E131</f>
        <v>0</v>
      </c>
      <c r="F288" s="10">
        <f>Input!F131</f>
        <v>0</v>
      </c>
      <c r="G288" s="10">
        <f>Input!G131</f>
        <v>0</v>
      </c>
    </row>
    <row r="289" spans="1:7">
      <c r="A289" s="29">
        <v>350</v>
      </c>
      <c r="B289" s="264" t="s">
        <v>575</v>
      </c>
      <c r="C289" s="233" t="s">
        <v>576</v>
      </c>
      <c r="D289" s="83">
        <v>40.064999999999998</v>
      </c>
      <c r="E289" s="10">
        <f>Input!E132</f>
        <v>0</v>
      </c>
      <c r="F289" s="10">
        <f>Input!F132</f>
        <v>0</v>
      </c>
      <c r="G289" s="10">
        <f>Input!G132</f>
        <v>0</v>
      </c>
    </row>
    <row r="290" spans="1:7">
      <c r="A290" s="29">
        <v>571</v>
      </c>
      <c r="B290" s="264" t="s">
        <v>577</v>
      </c>
      <c r="C290" s="233" t="s">
        <v>578</v>
      </c>
      <c r="D290" s="83">
        <v>60.095999999999997</v>
      </c>
      <c r="E290" s="10">
        <f>Input!E133</f>
        <v>0</v>
      </c>
      <c r="F290" s="10">
        <f>Input!F133</f>
        <v>0</v>
      </c>
      <c r="G290" s="10">
        <f>Input!G133</f>
        <v>0</v>
      </c>
    </row>
    <row r="291" spans="1:7">
      <c r="A291" s="29">
        <v>652</v>
      </c>
      <c r="B291" s="264" t="s">
        <v>579</v>
      </c>
      <c r="C291" s="233" t="s">
        <v>580</v>
      </c>
      <c r="D291" s="83">
        <v>78.542000000000002</v>
      </c>
      <c r="E291" s="10">
        <f>Input!E134</f>
        <v>0</v>
      </c>
      <c r="F291" s="10">
        <f>Input!F134</f>
        <v>0</v>
      </c>
      <c r="G291" s="10">
        <f>Input!G134</f>
        <v>0</v>
      </c>
    </row>
    <row r="292" spans="1:7">
      <c r="A292" s="29">
        <v>654</v>
      </c>
      <c r="B292" s="264" t="s">
        <v>513</v>
      </c>
      <c r="C292" s="233" t="s">
        <v>514</v>
      </c>
      <c r="D292" s="83">
        <v>112.98699999999999</v>
      </c>
      <c r="E292" s="10">
        <f>Input!E135</f>
        <v>0</v>
      </c>
      <c r="F292" s="10">
        <f>Input!F135</f>
        <v>0</v>
      </c>
      <c r="G292" s="10">
        <f>Input!G135</f>
        <v>0</v>
      </c>
    </row>
    <row r="293" spans="1:7">
      <c r="A293" s="29">
        <v>881</v>
      </c>
      <c r="B293" s="264" t="s">
        <v>581</v>
      </c>
      <c r="C293" s="233" t="s">
        <v>582</v>
      </c>
      <c r="D293" s="83">
        <v>58.08</v>
      </c>
      <c r="E293" s="10">
        <f>Input!E136</f>
        <v>0</v>
      </c>
      <c r="F293" s="10">
        <f>Input!F136</f>
        <v>0</v>
      </c>
      <c r="G293" s="10">
        <f>Input!G136</f>
        <v>0</v>
      </c>
    </row>
    <row r="294" spans="1:7">
      <c r="A294" s="29">
        <v>520</v>
      </c>
      <c r="B294" s="264" t="s">
        <v>583</v>
      </c>
      <c r="C294" s="233" t="s">
        <v>584</v>
      </c>
      <c r="D294" s="83">
        <v>106.16800000000001</v>
      </c>
      <c r="E294" s="10">
        <f>Input!E137</f>
        <v>0</v>
      </c>
      <c r="F294" s="10">
        <f>Input!F137</f>
        <v>0</v>
      </c>
      <c r="G294" s="10">
        <f>Input!G137</f>
        <v>0</v>
      </c>
    </row>
    <row r="295" spans="1:7">
      <c r="A295" s="29">
        <v>671</v>
      </c>
      <c r="B295" s="264" t="s">
        <v>585</v>
      </c>
      <c r="C295" s="233" t="s">
        <v>586</v>
      </c>
      <c r="D295" s="83">
        <v>102</v>
      </c>
      <c r="E295" s="10">
        <f>Input!E138</f>
        <v>0</v>
      </c>
      <c r="F295" s="10">
        <f>Input!F138</f>
        <v>0</v>
      </c>
      <c r="G295" s="10">
        <f>Input!G138</f>
        <v>0</v>
      </c>
    </row>
    <row r="296" spans="1:7">
      <c r="A296" s="29">
        <v>682</v>
      </c>
      <c r="B296" s="264" t="s">
        <v>587</v>
      </c>
      <c r="C296" s="233" t="s">
        <v>588</v>
      </c>
      <c r="D296" s="83">
        <v>72.58</v>
      </c>
      <c r="E296" s="10">
        <f>Input!E139</f>
        <v>0</v>
      </c>
      <c r="F296" s="10">
        <f>Input!F139</f>
        <v>0</v>
      </c>
      <c r="G296" s="10">
        <f>Input!G139</f>
        <v>0</v>
      </c>
    </row>
    <row r="297" spans="1:7">
      <c r="A297" s="29">
        <v>640</v>
      </c>
      <c r="B297" s="264" t="s">
        <v>589</v>
      </c>
      <c r="C297" s="233" t="s">
        <v>590</v>
      </c>
      <c r="D297" s="83">
        <v>100.01600000000001</v>
      </c>
      <c r="E297" s="10">
        <f>Input!E140</f>
        <v>0</v>
      </c>
      <c r="F297" s="10">
        <f>Input!F140</f>
        <v>0</v>
      </c>
      <c r="G297" s="10">
        <f>Input!G140</f>
        <v>0</v>
      </c>
    </row>
    <row r="298" spans="1:7">
      <c r="A298" s="29">
        <v>490</v>
      </c>
      <c r="B298" s="264" t="s">
        <v>591</v>
      </c>
      <c r="C298" s="233" t="s">
        <v>592</v>
      </c>
      <c r="D298" s="83">
        <v>92.141000000000005</v>
      </c>
      <c r="E298" s="10">
        <f>Input!E141</f>
        <v>0</v>
      </c>
      <c r="F298" s="10">
        <f>Input!F141</f>
        <v>0</v>
      </c>
      <c r="G298" s="10">
        <f>Input!G141</f>
        <v>0</v>
      </c>
    </row>
    <row r="299" spans="1:7">
      <c r="A299" s="29">
        <v>250</v>
      </c>
      <c r="B299" s="264" t="s">
        <v>593</v>
      </c>
      <c r="C299" s="233" t="s">
        <v>594</v>
      </c>
      <c r="D299" s="83">
        <v>56.107999999999997</v>
      </c>
      <c r="E299" s="10">
        <f>Input!E142</f>
        <v>0</v>
      </c>
      <c r="F299" s="10">
        <f>Input!F142</f>
        <v>0</v>
      </c>
      <c r="G299" s="10">
        <f>Input!G142</f>
        <v>0</v>
      </c>
    </row>
    <row r="300" spans="1:7">
      <c r="A300" s="29">
        <v>290</v>
      </c>
      <c r="B300" s="264" t="s">
        <v>595</v>
      </c>
      <c r="C300" s="233" t="s">
        <v>596</v>
      </c>
      <c r="D300" s="83">
        <v>70.135000000000005</v>
      </c>
      <c r="E300" s="10">
        <f>Input!E143</f>
        <v>0</v>
      </c>
      <c r="F300" s="10">
        <f>Input!F143</f>
        <v>0</v>
      </c>
      <c r="G300" s="10">
        <f>Input!G143</f>
        <v>0</v>
      </c>
    </row>
    <row r="301" spans="1:7">
      <c r="A301" s="29">
        <v>610</v>
      </c>
      <c r="B301" s="264" t="s">
        <v>597</v>
      </c>
      <c r="C301" s="233" t="s">
        <v>598</v>
      </c>
      <c r="D301" s="83">
        <v>86.090999999999994</v>
      </c>
      <c r="E301" s="10">
        <f>Input!E144</f>
        <v>0</v>
      </c>
      <c r="F301" s="10">
        <f>Input!F144</f>
        <v>0</v>
      </c>
      <c r="G301" s="10">
        <f>Input!G144</f>
        <v>0</v>
      </c>
    </row>
    <row r="302" spans="1:7">
      <c r="A302" s="29">
        <v>657</v>
      </c>
      <c r="B302" s="264" t="s">
        <v>599</v>
      </c>
      <c r="C302" s="233" t="s">
        <v>600</v>
      </c>
      <c r="D302" s="83">
        <v>62.499000000000002</v>
      </c>
      <c r="E302" s="10">
        <f>Input!E145</f>
        <v>0</v>
      </c>
      <c r="F302" s="10">
        <f>Input!F145</f>
        <v>0</v>
      </c>
      <c r="G302" s="10">
        <f>Input!G145</f>
        <v>0</v>
      </c>
    </row>
    <row r="305" spans="2:6" ht="13">
      <c r="B305" s="211" t="s">
        <v>312</v>
      </c>
      <c r="C305" s="211" t="s">
        <v>658</v>
      </c>
      <c r="D305" s="211" t="s">
        <v>659</v>
      </c>
      <c r="E305" s="211" t="s">
        <v>660</v>
      </c>
      <c r="F305" s="211" t="s">
        <v>661</v>
      </c>
    </row>
    <row r="306" spans="2:6">
      <c r="C306" s="49"/>
    </row>
    <row r="307" spans="2:6">
      <c r="B307" s="156">
        <v>6</v>
      </c>
      <c r="C307">
        <v>1000</v>
      </c>
      <c r="D307">
        <v>1200</v>
      </c>
      <c r="E307">
        <v>985</v>
      </c>
      <c r="F307">
        <v>1180</v>
      </c>
    </row>
    <row r="308" spans="2:6">
      <c r="B308" s="157">
        <v>8</v>
      </c>
      <c r="C308">
        <v>750</v>
      </c>
      <c r="D308">
        <v>900</v>
      </c>
      <c r="E308">
        <v>735</v>
      </c>
      <c r="F308">
        <v>880</v>
      </c>
    </row>
    <row r="309" spans="2:6">
      <c r="B309" s="157">
        <v>10</v>
      </c>
      <c r="C309">
        <v>600</v>
      </c>
      <c r="D309">
        <v>720</v>
      </c>
      <c r="E309">
        <v>590</v>
      </c>
      <c r="F309">
        <v>700</v>
      </c>
    </row>
    <row r="310" spans="2:6">
      <c r="B310" s="157">
        <v>12</v>
      </c>
      <c r="C310">
        <v>500</v>
      </c>
      <c r="D310">
        <v>600</v>
      </c>
      <c r="E310">
        <v>490</v>
      </c>
      <c r="F310">
        <v>590</v>
      </c>
    </row>
    <row r="311" spans="2:6">
      <c r="B311" s="157">
        <v>14</v>
      </c>
      <c r="C311">
        <v>429</v>
      </c>
      <c r="D311">
        <v>514</v>
      </c>
      <c r="E311">
        <v>420</v>
      </c>
      <c r="F311">
        <v>505</v>
      </c>
    </row>
    <row r="312" spans="2:6">
      <c r="B312" s="157">
        <v>16</v>
      </c>
      <c r="C312">
        <v>375</v>
      </c>
      <c r="D312">
        <v>450</v>
      </c>
      <c r="E312">
        <v>370</v>
      </c>
      <c r="F312">
        <v>440</v>
      </c>
    </row>
    <row r="313" spans="2:6">
      <c r="B313" s="157">
        <v>18</v>
      </c>
      <c r="C313">
        <v>333</v>
      </c>
      <c r="D313">
        <v>400</v>
      </c>
      <c r="E313">
        <v>327</v>
      </c>
      <c r="F313">
        <v>395</v>
      </c>
    </row>
    <row r="314" spans="2:6">
      <c r="B314" s="157">
        <v>20</v>
      </c>
      <c r="C314">
        <v>300</v>
      </c>
      <c r="D314">
        <v>360</v>
      </c>
      <c r="E314">
        <v>295</v>
      </c>
      <c r="F314">
        <v>355</v>
      </c>
    </row>
    <row r="315" spans="2:6">
      <c r="B315" s="157">
        <v>22</v>
      </c>
      <c r="C315">
        <v>273</v>
      </c>
      <c r="D315">
        <v>327</v>
      </c>
      <c r="E315">
        <v>270</v>
      </c>
      <c r="F315">
        <v>320</v>
      </c>
    </row>
    <row r="316" spans="2:6">
      <c r="B316" s="157">
        <v>24</v>
      </c>
      <c r="C316">
        <v>250</v>
      </c>
      <c r="D316">
        <v>300</v>
      </c>
      <c r="E316">
        <v>245</v>
      </c>
      <c r="F316">
        <v>295</v>
      </c>
    </row>
    <row r="317" spans="2:6">
      <c r="B317" s="158"/>
    </row>
  </sheetData>
  <dataConsolidate/>
  <mergeCells count="5">
    <mergeCell ref="L11:L12"/>
    <mergeCell ref="L13:L14"/>
    <mergeCell ref="L15:L16"/>
    <mergeCell ref="L19:L21"/>
    <mergeCell ref="L22:L25"/>
  </mergeCells>
  <phoneticPr fontId="0"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H56"/>
  <sheetViews>
    <sheetView topLeftCell="B1" zoomScaleNormal="100" workbookViewId="0">
      <selection activeCell="G14" sqref="G14"/>
    </sheetView>
  </sheetViews>
  <sheetFormatPr defaultRowHeight="12.5"/>
  <cols>
    <col min="1" max="1" width="15.453125" bestFit="1" customWidth="1"/>
    <col min="2" max="2" width="6.08984375" bestFit="1" customWidth="1"/>
    <col min="3" max="3" width="7.453125" bestFit="1" customWidth="1"/>
    <col min="4" max="4" width="6.6328125" bestFit="1" customWidth="1"/>
    <col min="5" max="5" width="12.6328125" style="94" customWidth="1"/>
    <col min="6" max="6" width="7.453125" bestFit="1" customWidth="1"/>
    <col min="7" max="7" width="86.08984375" bestFit="1" customWidth="1"/>
  </cols>
  <sheetData>
    <row r="1" spans="1:8" s="92" customFormat="1" ht="13">
      <c r="A1" s="92" t="s">
        <v>160</v>
      </c>
      <c r="B1" s="92" t="s">
        <v>161</v>
      </c>
      <c r="C1" s="92" t="s">
        <v>164</v>
      </c>
      <c r="D1" s="92" t="s">
        <v>163</v>
      </c>
      <c r="E1" s="93" t="s">
        <v>166</v>
      </c>
      <c r="F1" s="92" t="s">
        <v>165</v>
      </c>
      <c r="G1" s="92" t="s">
        <v>162</v>
      </c>
      <c r="H1" s="92" t="s">
        <v>165</v>
      </c>
    </row>
    <row r="2" spans="1:8">
      <c r="A2">
        <v>1</v>
      </c>
      <c r="C2">
        <v>0</v>
      </c>
      <c r="D2">
        <v>1</v>
      </c>
      <c r="E2" s="94" t="s">
        <v>167</v>
      </c>
      <c r="F2" s="49" t="s">
        <v>677</v>
      </c>
      <c r="G2" t="s">
        <v>155</v>
      </c>
      <c r="H2" s="49" t="s">
        <v>683</v>
      </c>
    </row>
    <row r="3" spans="1:8">
      <c r="A3">
        <v>2</v>
      </c>
      <c r="C3">
        <v>0</v>
      </c>
      <c r="D3">
        <v>1</v>
      </c>
      <c r="E3" s="94" t="s">
        <v>167</v>
      </c>
      <c r="F3" s="49" t="s">
        <v>678</v>
      </c>
      <c r="G3" t="s">
        <v>156</v>
      </c>
      <c r="H3" s="49" t="s">
        <v>684</v>
      </c>
    </row>
    <row r="4" spans="1:8">
      <c r="A4">
        <v>3</v>
      </c>
      <c r="C4">
        <v>1</v>
      </c>
      <c r="D4">
        <v>0</v>
      </c>
      <c r="E4" s="95" t="s">
        <v>152</v>
      </c>
      <c r="F4" s="49" t="s">
        <v>679</v>
      </c>
      <c r="G4" s="49" t="s">
        <v>157</v>
      </c>
      <c r="H4" s="49" t="s">
        <v>685</v>
      </c>
    </row>
    <row r="5" spans="1:8">
      <c r="A5">
        <v>4</v>
      </c>
      <c r="C5">
        <v>0</v>
      </c>
      <c r="D5">
        <v>1</v>
      </c>
      <c r="E5" s="95" t="s">
        <v>152</v>
      </c>
      <c r="F5" s="49" t="s">
        <v>680</v>
      </c>
      <c r="G5" t="s">
        <v>317</v>
      </c>
      <c r="H5" s="49" t="s">
        <v>687</v>
      </c>
    </row>
    <row r="6" spans="1:8">
      <c r="A6">
        <v>5</v>
      </c>
      <c r="C6">
        <v>1</v>
      </c>
      <c r="D6">
        <v>0</v>
      </c>
      <c r="E6" s="94" t="s">
        <v>167</v>
      </c>
      <c r="F6" s="49" t="s">
        <v>681</v>
      </c>
      <c r="G6" t="s">
        <v>158</v>
      </c>
      <c r="H6" s="49" t="s">
        <v>697</v>
      </c>
    </row>
    <row r="7" spans="1:8">
      <c r="A7">
        <v>6</v>
      </c>
      <c r="C7">
        <v>1</v>
      </c>
      <c r="D7">
        <v>0</v>
      </c>
      <c r="E7" s="94" t="s">
        <v>167</v>
      </c>
      <c r="F7" s="49" t="s">
        <v>682</v>
      </c>
      <c r="G7" t="s">
        <v>318</v>
      </c>
      <c r="H7" s="49" t="s">
        <v>698</v>
      </c>
    </row>
    <row r="8" spans="1:8">
      <c r="A8">
        <v>7</v>
      </c>
      <c r="C8">
        <v>1</v>
      </c>
      <c r="D8">
        <v>0</v>
      </c>
      <c r="E8" s="94" t="s">
        <v>167</v>
      </c>
      <c r="F8" s="49" t="s">
        <v>453</v>
      </c>
      <c r="G8" s="49" t="s">
        <v>458</v>
      </c>
      <c r="H8" s="49" t="s">
        <v>699</v>
      </c>
    </row>
    <row r="9" spans="1:8">
      <c r="A9">
        <v>8</v>
      </c>
      <c r="C9">
        <v>1</v>
      </c>
      <c r="D9">
        <v>0</v>
      </c>
      <c r="E9" s="94" t="s">
        <v>167</v>
      </c>
      <c r="F9" s="49" t="s">
        <v>454</v>
      </c>
      <c r="G9" t="s">
        <v>159</v>
      </c>
      <c r="H9" s="49" t="s">
        <v>700</v>
      </c>
    </row>
    <row r="10" spans="1:8">
      <c r="A10">
        <v>9</v>
      </c>
      <c r="C10">
        <v>1</v>
      </c>
      <c r="D10">
        <v>0</v>
      </c>
      <c r="E10" s="94" t="s">
        <v>167</v>
      </c>
      <c r="F10" s="49" t="s">
        <v>693</v>
      </c>
      <c r="G10" s="49" t="s">
        <v>450</v>
      </c>
      <c r="H10" s="49" t="s">
        <v>702</v>
      </c>
    </row>
    <row r="11" spans="1:8">
      <c r="A11">
        <v>10</v>
      </c>
      <c r="C11">
        <v>0</v>
      </c>
      <c r="D11">
        <v>1</v>
      </c>
      <c r="E11" s="94" t="s">
        <v>167</v>
      </c>
      <c r="F11" s="49" t="s">
        <v>694</v>
      </c>
      <c r="G11" s="49" t="s">
        <v>706</v>
      </c>
      <c r="H11" s="49" t="s">
        <v>703</v>
      </c>
    </row>
    <row r="12" spans="1:8">
      <c r="A12">
        <v>11</v>
      </c>
      <c r="C12">
        <v>0</v>
      </c>
      <c r="D12">
        <v>1</v>
      </c>
      <c r="E12" s="94" t="s">
        <v>167</v>
      </c>
      <c r="F12" s="49" t="s">
        <v>695</v>
      </c>
      <c r="G12" s="49" t="s">
        <v>304</v>
      </c>
      <c r="H12" s="49" t="s">
        <v>704</v>
      </c>
    </row>
    <row r="13" spans="1:8">
      <c r="A13">
        <v>12</v>
      </c>
      <c r="C13">
        <v>0</v>
      </c>
      <c r="D13">
        <v>1</v>
      </c>
      <c r="E13" s="94" t="s">
        <v>167</v>
      </c>
      <c r="F13" s="49" t="s">
        <v>696</v>
      </c>
      <c r="G13" s="49" t="s">
        <v>316</v>
      </c>
      <c r="H13" s="49" t="s">
        <v>705</v>
      </c>
    </row>
    <row r="14" spans="1:8" ht="25">
      <c r="A14">
        <v>13</v>
      </c>
      <c r="C14">
        <v>1</v>
      </c>
      <c r="D14">
        <v>0</v>
      </c>
      <c r="E14" s="94" t="s">
        <v>167</v>
      </c>
      <c r="F14" s="49" t="s">
        <v>709</v>
      </c>
      <c r="G14" s="494" t="s">
        <v>712</v>
      </c>
      <c r="H14" s="49" t="s">
        <v>710</v>
      </c>
    </row>
    <row r="50" spans="5:5" s="70" customFormat="1">
      <c r="E50" s="96"/>
    </row>
    <row r="51" spans="5:5" s="70" customFormat="1">
      <c r="E51" s="96"/>
    </row>
    <row r="52" spans="5:5" s="70" customFormat="1">
      <c r="E52" s="96"/>
    </row>
    <row r="53" spans="5:5" s="70" customFormat="1">
      <c r="E53" s="96"/>
    </row>
    <row r="54" spans="5:5" s="70" customFormat="1">
      <c r="E54" s="96"/>
    </row>
    <row r="55" spans="5:5" s="70" customFormat="1">
      <c r="E55" s="96"/>
    </row>
    <row r="56" spans="5:5" s="70" customFormat="1">
      <c r="E56" s="96"/>
    </row>
  </sheetData>
  <phoneticPr fontId="0" type="noConversion"/>
  <pageMargins left="0.75" right="0.75" top="1" bottom="1" header="0.5" footer="0.5"/>
  <pageSetup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N101"/>
  <sheetViews>
    <sheetView zoomScaleNormal="100" workbookViewId="0">
      <pane ySplit="1" topLeftCell="A68" activePane="bottomLeft" state="frozen"/>
      <selection sqref="A1:A2"/>
      <selection pane="bottomLeft" activeCell="C96" sqref="C96:J96"/>
    </sheetView>
  </sheetViews>
  <sheetFormatPr defaultColWidth="9.08984375" defaultRowHeight="12.5"/>
  <cols>
    <col min="1" max="1" width="14.453125" style="71" bestFit="1" customWidth="1"/>
    <col min="2" max="2" width="29.36328125" style="71" bestFit="1" customWidth="1"/>
    <col min="3" max="3" width="7.36328125" style="71" customWidth="1"/>
    <col min="4" max="4" width="17.54296875" style="71" bestFit="1" customWidth="1"/>
    <col min="5" max="8" width="7.54296875" style="71" customWidth="1"/>
    <col min="9" max="9" width="7.6328125" style="71" bestFit="1" customWidth="1"/>
    <col min="10" max="10" width="7.54296875" style="71" bestFit="1" customWidth="1"/>
    <col min="11" max="11" width="11.54296875" style="71" bestFit="1" customWidth="1"/>
    <col min="12" max="12" width="13.54296875" style="71" bestFit="1" customWidth="1"/>
    <col min="13" max="13" width="12.08984375" style="71" bestFit="1" customWidth="1"/>
    <col min="14" max="14" width="11" style="71" customWidth="1"/>
    <col min="15" max="16384" width="9.08984375" style="71"/>
  </cols>
  <sheetData>
    <row r="1" spans="1:14" s="87" customFormat="1" ht="26">
      <c r="A1" s="87" t="s">
        <v>288</v>
      </c>
      <c r="B1" s="87" t="s">
        <v>220</v>
      </c>
      <c r="C1" s="87" t="s">
        <v>170</v>
      </c>
      <c r="D1" s="87" t="s">
        <v>179</v>
      </c>
      <c r="E1" s="87" t="s">
        <v>180</v>
      </c>
      <c r="F1" s="87" t="s">
        <v>181</v>
      </c>
      <c r="G1" s="87" t="s">
        <v>182</v>
      </c>
      <c r="H1" s="87" t="s">
        <v>183</v>
      </c>
      <c r="I1" s="87" t="s">
        <v>169</v>
      </c>
      <c r="J1" s="87" t="s">
        <v>219</v>
      </c>
      <c r="K1" s="87" t="s">
        <v>171</v>
      </c>
      <c r="L1" s="87" t="s">
        <v>172</v>
      </c>
      <c r="M1" s="87" t="s">
        <v>173</v>
      </c>
      <c r="N1" s="87" t="s">
        <v>273</v>
      </c>
    </row>
    <row r="2" spans="1:14">
      <c r="B2" s="71" t="s">
        <v>221</v>
      </c>
      <c r="C2" s="71" t="s">
        <v>168</v>
      </c>
      <c r="E2" s="71" t="s">
        <v>189</v>
      </c>
      <c r="F2" s="71" t="s">
        <v>195</v>
      </c>
      <c r="G2" s="71" t="s">
        <v>189</v>
      </c>
      <c r="H2" s="71" t="s">
        <v>196</v>
      </c>
      <c r="J2" s="71" t="s">
        <v>218</v>
      </c>
      <c r="N2" s="71" t="s">
        <v>274</v>
      </c>
    </row>
    <row r="3" spans="1:14">
      <c r="B3" s="71" t="s">
        <v>222</v>
      </c>
      <c r="C3" s="71" t="s">
        <v>168</v>
      </c>
      <c r="E3" s="71" t="s">
        <v>198</v>
      </c>
      <c r="F3" s="71" t="s">
        <v>195</v>
      </c>
      <c r="G3" s="71" t="s">
        <v>198</v>
      </c>
      <c r="H3" s="71" t="s">
        <v>195</v>
      </c>
      <c r="J3" s="227" t="s">
        <v>217</v>
      </c>
    </row>
    <row r="4" spans="1:14">
      <c r="B4" s="71" t="s">
        <v>223</v>
      </c>
      <c r="C4" s="71" t="s">
        <v>168</v>
      </c>
      <c r="E4" s="71" t="s">
        <v>200</v>
      </c>
      <c r="F4" s="71" t="s">
        <v>200</v>
      </c>
      <c r="G4" s="71" t="s">
        <v>192</v>
      </c>
      <c r="H4" s="71" t="s">
        <v>200</v>
      </c>
      <c r="J4" s="71" t="s">
        <v>218</v>
      </c>
      <c r="N4" s="71" t="s">
        <v>274</v>
      </c>
    </row>
    <row r="5" spans="1:14">
      <c r="B5" s="71" t="s">
        <v>224</v>
      </c>
      <c r="C5" s="71" t="s">
        <v>168</v>
      </c>
      <c r="D5" s="71" t="s">
        <v>203</v>
      </c>
      <c r="I5" s="163" t="s">
        <v>457</v>
      </c>
      <c r="J5" s="71" t="s">
        <v>218</v>
      </c>
      <c r="N5" s="71" t="s">
        <v>275</v>
      </c>
    </row>
    <row r="6" spans="1:14">
      <c r="B6" s="71" t="s">
        <v>281</v>
      </c>
      <c r="C6" s="71" t="s">
        <v>168</v>
      </c>
      <c r="E6" s="163" t="s">
        <v>291</v>
      </c>
      <c r="F6" s="71" t="s">
        <v>193</v>
      </c>
      <c r="G6" s="71" t="s">
        <v>206</v>
      </c>
      <c r="H6" s="71" t="s">
        <v>193</v>
      </c>
      <c r="J6" s="71" t="s">
        <v>218</v>
      </c>
      <c r="N6" s="71" t="s">
        <v>275</v>
      </c>
    </row>
    <row r="7" spans="1:14">
      <c r="B7" s="71" t="s">
        <v>282</v>
      </c>
      <c r="C7" s="71" t="s">
        <v>168</v>
      </c>
      <c r="E7" s="163" t="s">
        <v>291</v>
      </c>
      <c r="F7" s="71" t="s">
        <v>185</v>
      </c>
      <c r="G7" s="71" t="s">
        <v>206</v>
      </c>
      <c r="H7" s="71" t="s">
        <v>185</v>
      </c>
      <c r="J7" s="71" t="s">
        <v>218</v>
      </c>
      <c r="N7" s="71" t="s">
        <v>283</v>
      </c>
    </row>
    <row r="8" spans="1:14">
      <c r="B8" s="163" t="s">
        <v>343</v>
      </c>
      <c r="C8" s="71" t="s">
        <v>168</v>
      </c>
      <c r="E8" s="163" t="s">
        <v>291</v>
      </c>
      <c r="F8" s="163" t="s">
        <v>202</v>
      </c>
      <c r="G8" s="71" t="s">
        <v>206</v>
      </c>
      <c r="H8" s="163" t="s">
        <v>202</v>
      </c>
      <c r="J8" s="71" t="s">
        <v>218</v>
      </c>
      <c r="N8" s="163" t="s">
        <v>344</v>
      </c>
    </row>
    <row r="9" spans="1:14">
      <c r="B9" s="71" t="s">
        <v>285</v>
      </c>
      <c r="C9" s="71" t="s">
        <v>168</v>
      </c>
      <c r="E9" s="71" t="s">
        <v>186</v>
      </c>
      <c r="F9" s="71" t="s">
        <v>193</v>
      </c>
      <c r="G9" s="163" t="s">
        <v>199</v>
      </c>
      <c r="H9" s="71" t="s">
        <v>193</v>
      </c>
      <c r="J9" s="71" t="s">
        <v>218</v>
      </c>
      <c r="N9" s="71" t="s">
        <v>275</v>
      </c>
    </row>
    <row r="10" spans="1:14">
      <c r="B10" s="71" t="s">
        <v>286</v>
      </c>
      <c r="C10" s="71" t="s">
        <v>168</v>
      </c>
      <c r="E10" s="71" t="s">
        <v>186</v>
      </c>
      <c r="F10" s="71" t="s">
        <v>185</v>
      </c>
      <c r="G10" s="163" t="s">
        <v>199</v>
      </c>
      <c r="H10" s="71" t="s">
        <v>185</v>
      </c>
      <c r="J10" s="71" t="s">
        <v>218</v>
      </c>
      <c r="N10" s="71" t="s">
        <v>283</v>
      </c>
    </row>
    <row r="11" spans="1:14">
      <c r="B11" s="163" t="s">
        <v>455</v>
      </c>
      <c r="C11" s="71" t="s">
        <v>168</v>
      </c>
      <c r="E11" s="71" t="s">
        <v>186</v>
      </c>
      <c r="F11" s="163" t="s">
        <v>202</v>
      </c>
      <c r="G11" s="163" t="s">
        <v>199</v>
      </c>
      <c r="H11" s="163" t="s">
        <v>202</v>
      </c>
      <c r="J11" s="71" t="s">
        <v>218</v>
      </c>
      <c r="N11" s="163" t="s">
        <v>344</v>
      </c>
    </row>
    <row r="12" spans="1:14">
      <c r="B12" s="71" t="s">
        <v>225</v>
      </c>
      <c r="C12" s="71" t="s">
        <v>168</v>
      </c>
      <c r="E12" s="163" t="s">
        <v>207</v>
      </c>
      <c r="F12" s="71" t="s">
        <v>193</v>
      </c>
      <c r="G12" s="163" t="s">
        <v>187</v>
      </c>
      <c r="H12" s="71" t="s">
        <v>193</v>
      </c>
      <c r="J12" s="71" t="s">
        <v>218</v>
      </c>
      <c r="N12" s="71" t="s">
        <v>275</v>
      </c>
    </row>
    <row r="13" spans="1:14">
      <c r="B13" s="71" t="s">
        <v>225</v>
      </c>
      <c r="C13" s="71" t="s">
        <v>168</v>
      </c>
      <c r="E13" s="163" t="s">
        <v>207</v>
      </c>
      <c r="F13" s="71" t="s">
        <v>185</v>
      </c>
      <c r="G13" s="163" t="s">
        <v>187</v>
      </c>
      <c r="H13" s="71" t="s">
        <v>185</v>
      </c>
      <c r="J13" s="71" t="s">
        <v>218</v>
      </c>
      <c r="N13" s="71" t="s">
        <v>283</v>
      </c>
    </row>
    <row r="14" spans="1:14">
      <c r="B14" s="71" t="s">
        <v>225</v>
      </c>
      <c r="C14" s="71" t="s">
        <v>168</v>
      </c>
      <c r="E14" s="163" t="s">
        <v>207</v>
      </c>
      <c r="F14" s="163" t="s">
        <v>202</v>
      </c>
      <c r="G14" s="163" t="s">
        <v>187</v>
      </c>
      <c r="H14" s="163" t="s">
        <v>202</v>
      </c>
      <c r="J14" s="71" t="s">
        <v>218</v>
      </c>
      <c r="N14" s="163" t="s">
        <v>344</v>
      </c>
    </row>
    <row r="15" spans="1:14">
      <c r="B15" s="71" t="s">
        <v>226</v>
      </c>
      <c r="C15" s="71" t="s">
        <v>168</v>
      </c>
      <c r="E15" s="163" t="s">
        <v>213</v>
      </c>
      <c r="F15" s="71" t="s">
        <v>193</v>
      </c>
      <c r="G15" s="163" t="s">
        <v>188</v>
      </c>
      <c r="H15" s="71" t="s">
        <v>193</v>
      </c>
      <c r="J15" s="71" t="s">
        <v>218</v>
      </c>
      <c r="N15" s="71" t="s">
        <v>275</v>
      </c>
    </row>
    <row r="16" spans="1:14">
      <c r="B16" s="71" t="s">
        <v>226</v>
      </c>
      <c r="C16" s="71" t="s">
        <v>168</v>
      </c>
      <c r="E16" s="163" t="s">
        <v>213</v>
      </c>
      <c r="F16" s="71" t="s">
        <v>185</v>
      </c>
      <c r="G16" s="163" t="s">
        <v>188</v>
      </c>
      <c r="H16" s="71" t="s">
        <v>185</v>
      </c>
      <c r="J16" s="71" t="s">
        <v>218</v>
      </c>
      <c r="N16" s="71" t="s">
        <v>283</v>
      </c>
    </row>
    <row r="17" spans="2:14">
      <c r="B17" s="71" t="s">
        <v>226</v>
      </c>
      <c r="C17" s="71" t="s">
        <v>168</v>
      </c>
      <c r="E17" s="163" t="s">
        <v>213</v>
      </c>
      <c r="F17" s="163" t="s">
        <v>202</v>
      </c>
      <c r="G17" s="163" t="s">
        <v>188</v>
      </c>
      <c r="H17" s="163" t="s">
        <v>202</v>
      </c>
      <c r="J17" s="71" t="s">
        <v>218</v>
      </c>
      <c r="N17" s="163" t="s">
        <v>344</v>
      </c>
    </row>
    <row r="18" spans="2:14">
      <c r="B18" s="71" t="s">
        <v>227</v>
      </c>
      <c r="C18" s="71" t="s">
        <v>168</v>
      </c>
      <c r="E18" s="163" t="s">
        <v>643</v>
      </c>
      <c r="F18" s="71" t="s">
        <v>193</v>
      </c>
      <c r="G18" s="163" t="s">
        <v>210</v>
      </c>
      <c r="H18" s="163" t="s">
        <v>202</v>
      </c>
      <c r="J18" s="71" t="s">
        <v>218</v>
      </c>
      <c r="N18" s="71" t="s">
        <v>274</v>
      </c>
    </row>
    <row r="19" spans="2:14">
      <c r="B19" s="71" t="s">
        <v>228</v>
      </c>
      <c r="C19" s="71" t="s">
        <v>168</v>
      </c>
      <c r="E19" s="163" t="s">
        <v>211</v>
      </c>
      <c r="F19" s="71" t="s">
        <v>193</v>
      </c>
      <c r="G19" s="163" t="s">
        <v>211</v>
      </c>
      <c r="H19" s="163" t="s">
        <v>202</v>
      </c>
      <c r="J19" s="71" t="s">
        <v>218</v>
      </c>
      <c r="N19" s="71" t="s">
        <v>274</v>
      </c>
    </row>
    <row r="20" spans="2:14">
      <c r="B20" s="71" t="s">
        <v>271</v>
      </c>
      <c r="C20" s="71" t="s">
        <v>168</v>
      </c>
      <c r="E20" s="163" t="s">
        <v>213</v>
      </c>
      <c r="F20" s="163" t="s">
        <v>201</v>
      </c>
      <c r="G20" s="163" t="s">
        <v>213</v>
      </c>
      <c r="H20" s="163" t="s">
        <v>201</v>
      </c>
      <c r="J20" s="227" t="s">
        <v>217</v>
      </c>
    </row>
    <row r="21" spans="2:14">
      <c r="B21" s="71" t="s">
        <v>230</v>
      </c>
      <c r="C21" s="71" t="s">
        <v>168</v>
      </c>
      <c r="E21" s="163" t="s">
        <v>210</v>
      </c>
      <c r="F21" s="163" t="s">
        <v>201</v>
      </c>
      <c r="G21" s="163" t="s">
        <v>210</v>
      </c>
      <c r="H21" s="163" t="s">
        <v>201</v>
      </c>
      <c r="J21" s="227" t="s">
        <v>217</v>
      </c>
    </row>
    <row r="22" spans="2:14">
      <c r="B22" s="71" t="s">
        <v>66</v>
      </c>
      <c r="C22" s="71" t="s">
        <v>168</v>
      </c>
      <c r="E22" s="163" t="s">
        <v>644</v>
      </c>
      <c r="F22" s="71" t="s">
        <v>193</v>
      </c>
      <c r="G22" s="163" t="s">
        <v>644</v>
      </c>
      <c r="H22" s="163" t="s">
        <v>202</v>
      </c>
      <c r="I22" s="163" t="s">
        <v>198</v>
      </c>
      <c r="J22" s="71" t="s">
        <v>218</v>
      </c>
      <c r="N22" s="71" t="s">
        <v>276</v>
      </c>
    </row>
    <row r="23" spans="2:14">
      <c r="B23" s="71" t="s">
        <v>270</v>
      </c>
      <c r="C23" s="71" t="s">
        <v>168</v>
      </c>
      <c r="D23" s="71" t="s">
        <v>176</v>
      </c>
      <c r="I23" s="163" t="s">
        <v>200</v>
      </c>
      <c r="J23" s="71" t="s">
        <v>218</v>
      </c>
      <c r="N23" s="71" t="s">
        <v>276</v>
      </c>
    </row>
    <row r="24" spans="2:14">
      <c r="B24" s="71" t="s">
        <v>89</v>
      </c>
      <c r="C24" s="71" t="s">
        <v>168</v>
      </c>
      <c r="D24" s="71" t="s">
        <v>178</v>
      </c>
      <c r="I24" s="163" t="s">
        <v>192</v>
      </c>
      <c r="J24" s="71" t="s">
        <v>218</v>
      </c>
      <c r="N24" s="71" t="s">
        <v>276</v>
      </c>
    </row>
    <row r="25" spans="2:14">
      <c r="B25" s="163" t="s">
        <v>311</v>
      </c>
      <c r="C25" s="71" t="s">
        <v>168</v>
      </c>
      <c r="E25" s="163" t="s">
        <v>646</v>
      </c>
      <c r="F25" s="71" t="s">
        <v>185</v>
      </c>
      <c r="G25" s="163" t="s">
        <v>646</v>
      </c>
      <c r="H25" s="71" t="s">
        <v>185</v>
      </c>
      <c r="J25" s="71" t="s">
        <v>218</v>
      </c>
      <c r="K25" s="71">
        <v>204</v>
      </c>
      <c r="L25" s="71">
        <v>255</v>
      </c>
      <c r="M25" s="71">
        <v>204</v>
      </c>
      <c r="N25" s="71" t="s">
        <v>289</v>
      </c>
    </row>
    <row r="26" spans="2:14">
      <c r="B26" s="71" t="s">
        <v>280</v>
      </c>
      <c r="C26" s="71" t="s">
        <v>168</v>
      </c>
      <c r="E26" s="163" t="s">
        <v>647</v>
      </c>
      <c r="F26" s="71" t="s">
        <v>185</v>
      </c>
      <c r="G26" s="163" t="s">
        <v>647</v>
      </c>
      <c r="H26" s="71" t="s">
        <v>185</v>
      </c>
      <c r="J26" s="71" t="s">
        <v>218</v>
      </c>
      <c r="N26" s="71" t="s">
        <v>274</v>
      </c>
    </row>
    <row r="27" spans="2:14">
      <c r="B27" s="71" t="s">
        <v>279</v>
      </c>
      <c r="C27" s="71" t="s">
        <v>168</v>
      </c>
      <c r="E27" s="163" t="s">
        <v>252</v>
      </c>
      <c r="F27" s="71" t="s">
        <v>193</v>
      </c>
      <c r="G27" s="163" t="s">
        <v>707</v>
      </c>
      <c r="H27" s="71" t="s">
        <v>193</v>
      </c>
      <c r="J27" s="71" t="s">
        <v>218</v>
      </c>
      <c r="N27" s="71" t="s">
        <v>275</v>
      </c>
    </row>
    <row r="28" spans="2:14">
      <c r="B28" s="163" t="s">
        <v>456</v>
      </c>
      <c r="C28" s="71" t="s">
        <v>168</v>
      </c>
      <c r="E28" s="163" t="s">
        <v>252</v>
      </c>
      <c r="F28" s="163" t="s">
        <v>185</v>
      </c>
      <c r="G28" s="163" t="s">
        <v>707</v>
      </c>
      <c r="H28" s="163" t="s">
        <v>185</v>
      </c>
      <c r="J28" s="71" t="s">
        <v>218</v>
      </c>
      <c r="N28" s="71" t="s">
        <v>283</v>
      </c>
    </row>
    <row r="29" spans="2:14">
      <c r="B29" s="163" t="s">
        <v>456</v>
      </c>
      <c r="C29" s="71" t="s">
        <v>168</v>
      </c>
      <c r="E29" s="163" t="s">
        <v>252</v>
      </c>
      <c r="F29" s="163" t="s">
        <v>202</v>
      </c>
      <c r="G29" s="163" t="s">
        <v>707</v>
      </c>
      <c r="H29" s="163" t="s">
        <v>202</v>
      </c>
      <c r="J29" s="71" t="s">
        <v>218</v>
      </c>
      <c r="N29" s="163" t="s">
        <v>344</v>
      </c>
    </row>
    <row r="30" spans="2:14">
      <c r="B30" s="71" t="s">
        <v>229</v>
      </c>
      <c r="C30" s="71" t="s">
        <v>168</v>
      </c>
      <c r="D30" s="71" t="s">
        <v>174</v>
      </c>
      <c r="I30" s="163" t="s">
        <v>194</v>
      </c>
      <c r="J30" s="71" t="s">
        <v>218</v>
      </c>
      <c r="N30" s="71" t="s">
        <v>274</v>
      </c>
    </row>
    <row r="31" spans="2:14">
      <c r="B31" s="71" t="s">
        <v>96</v>
      </c>
      <c r="C31" s="71" t="s">
        <v>168</v>
      </c>
      <c r="D31" s="71" t="s">
        <v>96</v>
      </c>
      <c r="I31" s="163" t="s">
        <v>193</v>
      </c>
      <c r="J31" s="71" t="s">
        <v>218</v>
      </c>
      <c r="N31" s="71" t="s">
        <v>274</v>
      </c>
    </row>
    <row r="32" spans="2:14">
      <c r="B32" s="71" t="s">
        <v>272</v>
      </c>
      <c r="C32" s="71" t="s">
        <v>168</v>
      </c>
      <c r="D32" s="71" t="s">
        <v>175</v>
      </c>
      <c r="I32" s="163" t="s">
        <v>194</v>
      </c>
      <c r="J32" s="71" t="s">
        <v>218</v>
      </c>
      <c r="N32" s="71" t="s">
        <v>274</v>
      </c>
    </row>
    <row r="33" spans="1:14">
      <c r="B33" s="71" t="s">
        <v>277</v>
      </c>
      <c r="C33" s="71" t="s">
        <v>168</v>
      </c>
      <c r="E33" s="163" t="s">
        <v>648</v>
      </c>
      <c r="F33" s="71" t="s">
        <v>189</v>
      </c>
      <c r="G33" s="163" t="s">
        <v>649</v>
      </c>
      <c r="H33" s="71" t="s">
        <v>191</v>
      </c>
      <c r="J33" s="71" t="s">
        <v>218</v>
      </c>
      <c r="N33" s="71" t="s">
        <v>274</v>
      </c>
    </row>
    <row r="34" spans="1:14">
      <c r="B34" s="71" t="s">
        <v>278</v>
      </c>
      <c r="C34" s="71" t="s">
        <v>168</v>
      </c>
      <c r="E34" s="163" t="s">
        <v>650</v>
      </c>
      <c r="F34" s="71" t="s">
        <v>189</v>
      </c>
      <c r="G34" s="163" t="s">
        <v>651</v>
      </c>
      <c r="H34" s="71" t="s">
        <v>191</v>
      </c>
      <c r="J34" s="71" t="s">
        <v>218</v>
      </c>
      <c r="N34" s="71" t="s">
        <v>274</v>
      </c>
    </row>
    <row r="35" spans="1:14">
      <c r="A35" s="71" t="s">
        <v>287</v>
      </c>
      <c r="B35" s="71" t="s">
        <v>245</v>
      </c>
      <c r="C35" s="71" t="s">
        <v>168</v>
      </c>
      <c r="E35" s="163" t="s">
        <v>213</v>
      </c>
      <c r="F35" s="163" t="s">
        <v>196</v>
      </c>
      <c r="G35" s="163" t="s">
        <v>213</v>
      </c>
      <c r="H35" s="163" t="s">
        <v>196</v>
      </c>
      <c r="J35" s="227" t="s">
        <v>217</v>
      </c>
    </row>
    <row r="36" spans="1:14">
      <c r="B36" s="71" t="s">
        <v>246</v>
      </c>
      <c r="C36" s="71" t="s">
        <v>168</v>
      </c>
      <c r="E36" s="71" t="s">
        <v>247</v>
      </c>
      <c r="F36" s="71" t="s">
        <v>192</v>
      </c>
      <c r="G36" s="71" t="s">
        <v>247</v>
      </c>
      <c r="H36" s="71" t="s">
        <v>192</v>
      </c>
      <c r="J36" s="227" t="s">
        <v>217</v>
      </c>
    </row>
    <row r="37" spans="1:14">
      <c r="B37" s="163" t="s">
        <v>690</v>
      </c>
      <c r="C37" s="71" t="s">
        <v>168</v>
      </c>
      <c r="E37" s="163" t="s">
        <v>644</v>
      </c>
      <c r="F37" s="71" t="s">
        <v>192</v>
      </c>
      <c r="G37" s="163" t="s">
        <v>646</v>
      </c>
      <c r="H37" s="163" t="s">
        <v>197</v>
      </c>
      <c r="J37" s="227" t="s">
        <v>217</v>
      </c>
    </row>
    <row r="38" spans="1:14">
      <c r="B38" s="71" t="s">
        <v>249</v>
      </c>
      <c r="C38" s="71" t="s">
        <v>168</v>
      </c>
      <c r="E38" s="163" t="s">
        <v>263</v>
      </c>
      <c r="F38" s="71" t="s">
        <v>192</v>
      </c>
      <c r="G38" s="163" t="s">
        <v>263</v>
      </c>
      <c r="H38" s="71" t="s">
        <v>192</v>
      </c>
      <c r="J38" s="227" t="s">
        <v>217</v>
      </c>
    </row>
    <row r="39" spans="1:14">
      <c r="B39" s="71" t="s">
        <v>251</v>
      </c>
      <c r="C39" s="71" t="s">
        <v>168</v>
      </c>
      <c r="E39" s="163" t="s">
        <v>215</v>
      </c>
      <c r="F39" s="71" t="s">
        <v>192</v>
      </c>
      <c r="G39" s="163" t="s">
        <v>215</v>
      </c>
      <c r="H39" s="71" t="s">
        <v>192</v>
      </c>
      <c r="J39" s="227" t="s">
        <v>217</v>
      </c>
    </row>
    <row r="40" spans="1:14">
      <c r="B40" s="71" t="s">
        <v>253</v>
      </c>
      <c r="C40" s="71" t="s">
        <v>168</v>
      </c>
      <c r="E40" s="163" t="s">
        <v>216</v>
      </c>
      <c r="F40" s="71" t="s">
        <v>192</v>
      </c>
      <c r="G40" s="163" t="s">
        <v>216</v>
      </c>
      <c r="H40" s="71" t="s">
        <v>192</v>
      </c>
      <c r="J40" s="227" t="s">
        <v>217</v>
      </c>
    </row>
    <row r="41" spans="1:14">
      <c r="B41" s="71" t="s">
        <v>255</v>
      </c>
      <c r="C41" s="71" t="s">
        <v>168</v>
      </c>
      <c r="E41" s="163" t="s">
        <v>250</v>
      </c>
      <c r="F41" s="71" t="s">
        <v>192</v>
      </c>
      <c r="G41" s="163" t="s">
        <v>250</v>
      </c>
      <c r="H41" s="71" t="s">
        <v>192</v>
      </c>
      <c r="J41" s="227" t="s">
        <v>217</v>
      </c>
    </row>
    <row r="42" spans="1:14">
      <c r="B42" s="71" t="s">
        <v>254</v>
      </c>
      <c r="C42" s="71" t="s">
        <v>168</v>
      </c>
      <c r="E42" s="163" t="s">
        <v>701</v>
      </c>
      <c r="F42" s="71" t="s">
        <v>192</v>
      </c>
      <c r="G42" s="163" t="s">
        <v>701</v>
      </c>
      <c r="H42" s="71" t="s">
        <v>192</v>
      </c>
      <c r="J42" s="227" t="s">
        <v>217</v>
      </c>
    </row>
    <row r="43" spans="1:14">
      <c r="B43" s="71" t="s">
        <v>256</v>
      </c>
      <c r="C43" s="71" t="s">
        <v>168</v>
      </c>
      <c r="E43" s="71" t="s">
        <v>247</v>
      </c>
      <c r="F43" s="163" t="s">
        <v>192</v>
      </c>
      <c r="G43" s="71" t="s">
        <v>247</v>
      </c>
      <c r="H43" s="163" t="s">
        <v>192</v>
      </c>
      <c r="J43" s="227" t="s">
        <v>217</v>
      </c>
    </row>
    <row r="44" spans="1:14">
      <c r="B44" s="71" t="s">
        <v>258</v>
      </c>
      <c r="C44" s="71" t="s">
        <v>168</v>
      </c>
      <c r="E44" s="163" t="s">
        <v>252</v>
      </c>
      <c r="F44" s="163" t="s">
        <v>192</v>
      </c>
      <c r="G44" s="163" t="s">
        <v>261</v>
      </c>
      <c r="H44" s="163" t="s">
        <v>291</v>
      </c>
      <c r="J44" s="227" t="s">
        <v>217</v>
      </c>
    </row>
    <row r="45" spans="1:14">
      <c r="B45" s="71" t="s">
        <v>284</v>
      </c>
      <c r="C45" s="71" t="s">
        <v>168</v>
      </c>
      <c r="E45" s="163" t="s">
        <v>265</v>
      </c>
      <c r="F45" s="71" t="s">
        <v>192</v>
      </c>
      <c r="G45" s="163" t="s">
        <v>645</v>
      </c>
      <c r="H45" s="71" t="s">
        <v>192</v>
      </c>
      <c r="J45" s="227" t="s">
        <v>217</v>
      </c>
    </row>
    <row r="46" spans="1:14">
      <c r="B46" s="71" t="s">
        <v>294</v>
      </c>
      <c r="C46" s="71" t="s">
        <v>168</v>
      </c>
      <c r="E46" s="71" t="s">
        <v>295</v>
      </c>
      <c r="F46" s="71" t="s">
        <v>198</v>
      </c>
      <c r="G46" s="163" t="s">
        <v>195</v>
      </c>
      <c r="H46" s="163" t="s">
        <v>202</v>
      </c>
      <c r="J46" s="227" t="s">
        <v>217</v>
      </c>
    </row>
    <row r="47" spans="1:14">
      <c r="B47" s="163" t="s">
        <v>307</v>
      </c>
      <c r="C47" s="163" t="s">
        <v>168</v>
      </c>
      <c r="E47" s="163" t="s">
        <v>652</v>
      </c>
      <c r="F47" s="163" t="s">
        <v>195</v>
      </c>
      <c r="G47" s="163" t="s">
        <v>652</v>
      </c>
      <c r="H47" s="163" t="s">
        <v>195</v>
      </c>
      <c r="J47" s="163" t="s">
        <v>218</v>
      </c>
      <c r="N47" s="163" t="s">
        <v>274</v>
      </c>
    </row>
    <row r="48" spans="1:14">
      <c r="B48" s="163" t="s">
        <v>322</v>
      </c>
      <c r="C48" s="163" t="s">
        <v>168</v>
      </c>
      <c r="D48" s="163" t="s">
        <v>322</v>
      </c>
      <c r="I48" s="163" t="s">
        <v>189</v>
      </c>
      <c r="J48" s="163" t="s">
        <v>218</v>
      </c>
      <c r="N48" s="71" t="s">
        <v>275</v>
      </c>
    </row>
    <row r="49" spans="2:14">
      <c r="B49" s="163" t="s">
        <v>690</v>
      </c>
      <c r="C49" s="163" t="s">
        <v>168</v>
      </c>
      <c r="D49" s="163"/>
      <c r="E49" s="163" t="s">
        <v>691</v>
      </c>
      <c r="F49" s="163" t="s">
        <v>192</v>
      </c>
      <c r="G49" s="163" t="s">
        <v>213</v>
      </c>
      <c r="H49" s="163" t="s">
        <v>192</v>
      </c>
      <c r="I49" s="163"/>
      <c r="J49" s="227" t="s">
        <v>217</v>
      </c>
    </row>
    <row r="50" spans="2:14">
      <c r="B50" s="163" t="s">
        <v>714</v>
      </c>
      <c r="C50" s="163" t="s">
        <v>168</v>
      </c>
      <c r="E50" s="163" t="s">
        <v>653</v>
      </c>
      <c r="F50" s="163" t="s">
        <v>195</v>
      </c>
      <c r="G50" s="163" t="s">
        <v>653</v>
      </c>
      <c r="H50" s="163" t="s">
        <v>195</v>
      </c>
      <c r="J50" s="163" t="s">
        <v>217</v>
      </c>
    </row>
    <row r="51" spans="2:14">
      <c r="B51" s="163" t="s">
        <v>1012</v>
      </c>
      <c r="C51" s="163" t="s">
        <v>168</v>
      </c>
      <c r="E51" s="163" t="s">
        <v>212</v>
      </c>
      <c r="F51" s="163" t="s">
        <v>185</v>
      </c>
      <c r="G51" s="163" t="s">
        <v>212</v>
      </c>
      <c r="H51" s="163" t="s">
        <v>185</v>
      </c>
      <c r="J51" s="163" t="s">
        <v>218</v>
      </c>
      <c r="N51" s="71" t="s">
        <v>274</v>
      </c>
    </row>
    <row r="52" spans="2:14">
      <c r="B52" s="163" t="s">
        <v>1013</v>
      </c>
      <c r="C52" s="163" t="s">
        <v>168</v>
      </c>
      <c r="E52" s="163" t="s">
        <v>647</v>
      </c>
      <c r="F52" s="163" t="s">
        <v>191</v>
      </c>
      <c r="G52" s="163" t="s">
        <v>212</v>
      </c>
      <c r="H52" s="163" t="s">
        <v>247</v>
      </c>
      <c r="J52" s="163" t="s">
        <v>218</v>
      </c>
      <c r="N52" s="71" t="s">
        <v>274</v>
      </c>
    </row>
    <row r="53" spans="2:14">
      <c r="B53" s="163" t="s">
        <v>713</v>
      </c>
      <c r="C53" s="163" t="s">
        <v>168</v>
      </c>
      <c r="E53" s="163" t="s">
        <v>653</v>
      </c>
      <c r="F53" s="163" t="s">
        <v>193</v>
      </c>
      <c r="G53" s="163" t="s">
        <v>653</v>
      </c>
      <c r="H53" s="163" t="s">
        <v>193</v>
      </c>
      <c r="J53" s="163" t="s">
        <v>218</v>
      </c>
    </row>
    <row r="54" spans="2:14" s="86" customFormat="1" ht="5.5"/>
    <row r="55" spans="2:14">
      <c r="C55" s="71" t="s">
        <v>167</v>
      </c>
      <c r="E55" s="71" t="s">
        <v>195</v>
      </c>
      <c r="F55" s="71" t="s">
        <v>189</v>
      </c>
      <c r="G55" s="71" t="s">
        <v>195</v>
      </c>
      <c r="H55" s="71" t="s">
        <v>189</v>
      </c>
      <c r="J55" s="227" t="s">
        <v>217</v>
      </c>
    </row>
    <row r="56" spans="2:14">
      <c r="C56" s="71" t="s">
        <v>167</v>
      </c>
      <c r="E56" s="71" t="s">
        <v>195</v>
      </c>
      <c r="F56" s="71" t="s">
        <v>193</v>
      </c>
      <c r="G56" s="71" t="s">
        <v>195</v>
      </c>
      <c r="H56" s="71" t="s">
        <v>193</v>
      </c>
      <c r="J56" s="227" t="s">
        <v>217</v>
      </c>
    </row>
    <row r="57" spans="2:14">
      <c r="C57" s="71" t="s">
        <v>167</v>
      </c>
      <c r="E57" s="71" t="s">
        <v>196</v>
      </c>
      <c r="F57" s="71" t="s">
        <v>189</v>
      </c>
      <c r="G57" s="71" t="s">
        <v>196</v>
      </c>
      <c r="H57" s="71" t="s">
        <v>189</v>
      </c>
      <c r="J57" s="227" t="s">
        <v>217</v>
      </c>
    </row>
    <row r="58" spans="2:14">
      <c r="C58" s="71" t="s">
        <v>167</v>
      </c>
      <c r="E58" s="71" t="s">
        <v>196</v>
      </c>
      <c r="F58" s="71" t="s">
        <v>193</v>
      </c>
      <c r="G58" s="71" t="s">
        <v>196</v>
      </c>
      <c r="H58" s="71" t="s">
        <v>193</v>
      </c>
      <c r="J58" s="227" t="s">
        <v>217</v>
      </c>
    </row>
    <row r="59" spans="2:14">
      <c r="C59" s="71" t="s">
        <v>167</v>
      </c>
      <c r="E59" s="71" t="s">
        <v>197</v>
      </c>
      <c r="F59" s="71" t="s">
        <v>189</v>
      </c>
      <c r="G59" s="71" t="s">
        <v>197</v>
      </c>
      <c r="H59" s="71" t="s">
        <v>189</v>
      </c>
      <c r="J59" s="227" t="s">
        <v>217</v>
      </c>
    </row>
    <row r="60" spans="2:14">
      <c r="C60" s="71" t="s">
        <v>167</v>
      </c>
      <c r="E60" s="71" t="s">
        <v>197</v>
      </c>
      <c r="F60" s="71" t="s">
        <v>193</v>
      </c>
      <c r="G60" s="71" t="s">
        <v>197</v>
      </c>
      <c r="H60" s="71" t="s">
        <v>193</v>
      </c>
      <c r="J60" s="227" t="s">
        <v>217</v>
      </c>
    </row>
    <row r="61" spans="2:14">
      <c r="C61" s="71" t="s">
        <v>167</v>
      </c>
      <c r="E61" s="71" t="s">
        <v>184</v>
      </c>
      <c r="F61" s="71" t="s">
        <v>189</v>
      </c>
      <c r="G61" s="163" t="s">
        <v>206</v>
      </c>
      <c r="H61" s="71" t="s">
        <v>189</v>
      </c>
      <c r="J61" s="227" t="s">
        <v>217</v>
      </c>
    </row>
    <row r="62" spans="2:14">
      <c r="C62" s="71" t="s">
        <v>167</v>
      </c>
      <c r="E62" s="71" t="s">
        <v>184</v>
      </c>
      <c r="F62" s="71" t="s">
        <v>193</v>
      </c>
      <c r="G62" s="163" t="s">
        <v>184</v>
      </c>
      <c r="H62" s="71" t="s">
        <v>193</v>
      </c>
      <c r="J62" s="227" t="s">
        <v>217</v>
      </c>
    </row>
    <row r="63" spans="2:14">
      <c r="C63" s="71" t="s">
        <v>167</v>
      </c>
      <c r="E63" s="71" t="s">
        <v>186</v>
      </c>
      <c r="F63" s="71" t="s">
        <v>198</v>
      </c>
      <c r="G63" s="71" t="s">
        <v>207</v>
      </c>
      <c r="H63" s="163" t="s">
        <v>193</v>
      </c>
      <c r="J63" s="227" t="s">
        <v>217</v>
      </c>
    </row>
    <row r="64" spans="2:14">
      <c r="C64" s="71" t="s">
        <v>167</v>
      </c>
      <c r="E64" s="71" t="s">
        <v>208</v>
      </c>
      <c r="F64" s="71" t="s">
        <v>198</v>
      </c>
      <c r="G64" s="71" t="s">
        <v>212</v>
      </c>
      <c r="H64" s="163" t="s">
        <v>295</v>
      </c>
      <c r="J64" s="227" t="s">
        <v>217</v>
      </c>
    </row>
    <row r="65" spans="1:10">
      <c r="C65" s="71" t="s">
        <v>167</v>
      </c>
      <c r="E65" s="71" t="s">
        <v>199</v>
      </c>
      <c r="F65" s="71" t="s">
        <v>202</v>
      </c>
      <c r="G65" s="71" t="s">
        <v>199</v>
      </c>
      <c r="H65" s="71" t="s">
        <v>202</v>
      </c>
      <c r="J65" s="227" t="s">
        <v>217</v>
      </c>
    </row>
    <row r="66" spans="1:10">
      <c r="C66" s="71" t="s">
        <v>167</v>
      </c>
      <c r="E66" s="163" t="s">
        <v>214</v>
      </c>
      <c r="F66" s="163" t="s">
        <v>198</v>
      </c>
      <c r="G66" s="163" t="s">
        <v>216</v>
      </c>
      <c r="H66" s="163" t="s">
        <v>295</v>
      </c>
      <c r="J66" s="227" t="s">
        <v>217</v>
      </c>
    </row>
    <row r="67" spans="1:10">
      <c r="A67" s="71" t="s">
        <v>287</v>
      </c>
      <c r="B67" s="71" t="s">
        <v>245</v>
      </c>
      <c r="C67" s="71" t="s">
        <v>167</v>
      </c>
      <c r="E67" s="71" t="s">
        <v>199</v>
      </c>
      <c r="F67" s="71" t="s">
        <v>202</v>
      </c>
      <c r="G67" s="71" t="s">
        <v>199</v>
      </c>
      <c r="H67" s="71" t="s">
        <v>202</v>
      </c>
      <c r="J67" s="227" t="s">
        <v>217</v>
      </c>
    </row>
    <row r="68" spans="1:10">
      <c r="C68" s="71" t="s">
        <v>167</v>
      </c>
      <c r="E68" s="163" t="s">
        <v>640</v>
      </c>
      <c r="F68" s="163" t="s">
        <v>189</v>
      </c>
      <c r="G68" s="163" t="s">
        <v>640</v>
      </c>
      <c r="H68" s="163" t="s">
        <v>189</v>
      </c>
      <c r="J68" s="227" t="s">
        <v>217</v>
      </c>
    </row>
    <row r="69" spans="1:10">
      <c r="E69" s="163"/>
      <c r="F69" s="163"/>
      <c r="G69" s="163"/>
      <c r="H69" s="163"/>
      <c r="J69" s="227"/>
    </row>
    <row r="74" spans="1:10" s="86" customFormat="1" ht="5.5"/>
    <row r="75" spans="1:10">
      <c r="C75" s="71" t="s">
        <v>152</v>
      </c>
      <c r="E75" s="71" t="s">
        <v>195</v>
      </c>
      <c r="F75" s="71" t="s">
        <v>189</v>
      </c>
      <c r="G75" s="71" t="s">
        <v>195</v>
      </c>
      <c r="H75" s="71" t="s">
        <v>189</v>
      </c>
      <c r="J75" s="227" t="s">
        <v>217</v>
      </c>
    </row>
    <row r="76" spans="1:10">
      <c r="C76" s="71" t="s">
        <v>152</v>
      </c>
      <c r="E76" s="71" t="s">
        <v>195</v>
      </c>
      <c r="F76" s="71" t="s">
        <v>193</v>
      </c>
      <c r="G76" s="71" t="s">
        <v>195</v>
      </c>
      <c r="H76" s="71" t="s">
        <v>193</v>
      </c>
      <c r="J76" s="227" t="s">
        <v>217</v>
      </c>
    </row>
    <row r="77" spans="1:10">
      <c r="C77" s="71" t="s">
        <v>152</v>
      </c>
      <c r="E77" s="71" t="s">
        <v>196</v>
      </c>
      <c r="F77" s="71" t="s">
        <v>189</v>
      </c>
      <c r="G77" s="71" t="s">
        <v>196</v>
      </c>
      <c r="H77" s="71" t="s">
        <v>189</v>
      </c>
      <c r="J77" s="227" t="s">
        <v>217</v>
      </c>
    </row>
    <row r="78" spans="1:10">
      <c r="C78" s="71" t="s">
        <v>152</v>
      </c>
      <c r="E78" s="71" t="s">
        <v>196</v>
      </c>
      <c r="F78" s="71" t="s">
        <v>193</v>
      </c>
      <c r="G78" s="71" t="s">
        <v>196</v>
      </c>
      <c r="H78" s="71" t="s">
        <v>193</v>
      </c>
      <c r="J78" s="227" t="s">
        <v>217</v>
      </c>
    </row>
    <row r="79" spans="1:10">
      <c r="C79" s="71" t="s">
        <v>152</v>
      </c>
      <c r="E79" s="71" t="s">
        <v>197</v>
      </c>
      <c r="F79" s="71" t="s">
        <v>189</v>
      </c>
      <c r="G79" s="163" t="s">
        <v>206</v>
      </c>
      <c r="H79" s="71" t="s">
        <v>189</v>
      </c>
      <c r="J79" s="227" t="s">
        <v>217</v>
      </c>
    </row>
    <row r="80" spans="1:10">
      <c r="C80" s="71" t="s">
        <v>152</v>
      </c>
      <c r="E80" s="71" t="s">
        <v>197</v>
      </c>
      <c r="F80" s="71" t="s">
        <v>193</v>
      </c>
      <c r="G80" s="71" t="s">
        <v>197</v>
      </c>
      <c r="H80" s="71" t="s">
        <v>193</v>
      </c>
      <c r="J80" s="227" t="s">
        <v>217</v>
      </c>
    </row>
    <row r="81" spans="1:10">
      <c r="C81" s="71" t="s">
        <v>152</v>
      </c>
      <c r="E81" s="71" t="s">
        <v>184</v>
      </c>
      <c r="F81" s="71" t="s">
        <v>189</v>
      </c>
      <c r="G81" s="71" t="s">
        <v>184</v>
      </c>
      <c r="H81" s="71" t="s">
        <v>189</v>
      </c>
      <c r="J81" s="227" t="s">
        <v>217</v>
      </c>
    </row>
    <row r="82" spans="1:10">
      <c r="C82" s="71" t="s">
        <v>152</v>
      </c>
      <c r="E82" s="71" t="s">
        <v>184</v>
      </c>
      <c r="F82" s="71" t="s">
        <v>193</v>
      </c>
      <c r="G82" s="163" t="s">
        <v>184</v>
      </c>
      <c r="H82" s="71" t="s">
        <v>193</v>
      </c>
      <c r="J82" s="227" t="s">
        <v>217</v>
      </c>
    </row>
    <row r="83" spans="1:10">
      <c r="C83" s="71" t="s">
        <v>152</v>
      </c>
      <c r="E83" s="71" t="s">
        <v>186</v>
      </c>
      <c r="F83" s="71" t="s">
        <v>198</v>
      </c>
      <c r="G83" s="71" t="s">
        <v>190</v>
      </c>
      <c r="H83" s="163" t="s">
        <v>193</v>
      </c>
      <c r="J83" s="227" t="s">
        <v>217</v>
      </c>
    </row>
    <row r="84" spans="1:10">
      <c r="C84" s="71" t="s">
        <v>152</v>
      </c>
      <c r="E84" s="71" t="s">
        <v>213</v>
      </c>
      <c r="F84" s="71" t="s">
        <v>198</v>
      </c>
      <c r="G84" s="71" t="s">
        <v>214</v>
      </c>
      <c r="H84" s="163" t="s">
        <v>295</v>
      </c>
      <c r="J84" s="227" t="s">
        <v>217</v>
      </c>
    </row>
    <row r="85" spans="1:10">
      <c r="C85" s="71" t="s">
        <v>152</v>
      </c>
      <c r="E85" s="71" t="s">
        <v>199</v>
      </c>
      <c r="F85" s="71" t="s">
        <v>202</v>
      </c>
      <c r="G85" s="71" t="s">
        <v>199</v>
      </c>
      <c r="H85" s="71" t="s">
        <v>202</v>
      </c>
      <c r="J85" s="227" t="s">
        <v>217</v>
      </c>
    </row>
    <row r="86" spans="1:10">
      <c r="C86" s="71" t="s">
        <v>152</v>
      </c>
      <c r="E86" s="163" t="s">
        <v>252</v>
      </c>
      <c r="F86" s="163" t="s">
        <v>198</v>
      </c>
      <c r="G86" s="163" t="s">
        <v>250</v>
      </c>
      <c r="H86" s="163" t="s">
        <v>295</v>
      </c>
      <c r="J86" s="227" t="s">
        <v>217</v>
      </c>
    </row>
    <row r="87" spans="1:10">
      <c r="A87" s="71" t="s">
        <v>287</v>
      </c>
      <c r="B87" s="71" t="s">
        <v>245</v>
      </c>
      <c r="C87" s="71" t="s">
        <v>152</v>
      </c>
      <c r="E87" s="71" t="s">
        <v>199</v>
      </c>
      <c r="F87" s="71" t="s">
        <v>202</v>
      </c>
      <c r="G87" s="71" t="s">
        <v>199</v>
      </c>
      <c r="H87" s="71" t="s">
        <v>202</v>
      </c>
      <c r="J87" s="227" t="s">
        <v>217</v>
      </c>
    </row>
    <row r="88" spans="1:10">
      <c r="B88" s="71" t="s">
        <v>256</v>
      </c>
      <c r="C88" s="71" t="s">
        <v>152</v>
      </c>
      <c r="E88" s="71" t="s">
        <v>248</v>
      </c>
      <c r="F88" s="71" t="s">
        <v>198</v>
      </c>
      <c r="G88" s="71" t="s">
        <v>248</v>
      </c>
      <c r="H88" s="71" t="s">
        <v>198</v>
      </c>
      <c r="J88" s="227" t="s">
        <v>217</v>
      </c>
    </row>
    <row r="89" spans="1:10">
      <c r="B89" s="71" t="s">
        <v>257</v>
      </c>
      <c r="C89" s="71" t="s">
        <v>152</v>
      </c>
      <c r="E89" s="71" t="s">
        <v>215</v>
      </c>
      <c r="F89" s="71" t="s">
        <v>198</v>
      </c>
      <c r="G89" s="71" t="s">
        <v>215</v>
      </c>
      <c r="H89" s="71" t="s">
        <v>198</v>
      </c>
      <c r="J89" s="227" t="s">
        <v>217</v>
      </c>
    </row>
    <row r="90" spans="1:10">
      <c r="B90" s="71" t="s">
        <v>259</v>
      </c>
      <c r="C90" s="71" t="s">
        <v>152</v>
      </c>
      <c r="E90" s="71" t="s">
        <v>250</v>
      </c>
      <c r="F90" s="71" t="s">
        <v>198</v>
      </c>
      <c r="G90" s="71" t="s">
        <v>250</v>
      </c>
      <c r="H90" s="71" t="s">
        <v>198</v>
      </c>
      <c r="J90" s="227" t="s">
        <v>217</v>
      </c>
    </row>
    <row r="91" spans="1:10">
      <c r="B91" s="71" t="s">
        <v>260</v>
      </c>
      <c r="C91" s="71" t="s">
        <v>152</v>
      </c>
      <c r="E91" s="71" t="s">
        <v>261</v>
      </c>
      <c r="F91" s="71" t="s">
        <v>198</v>
      </c>
      <c r="G91" s="71" t="s">
        <v>261</v>
      </c>
      <c r="H91" s="71" t="s">
        <v>198</v>
      </c>
      <c r="J91" s="227" t="s">
        <v>217</v>
      </c>
    </row>
    <row r="92" spans="1:10">
      <c r="B92" s="71" t="s">
        <v>262</v>
      </c>
      <c r="C92" s="71" t="s">
        <v>152</v>
      </c>
      <c r="E92" s="71" t="s">
        <v>263</v>
      </c>
      <c r="F92" s="71" t="s">
        <v>198</v>
      </c>
      <c r="G92" s="71" t="s">
        <v>263</v>
      </c>
      <c r="H92" s="71" t="s">
        <v>198</v>
      </c>
      <c r="J92" s="227" t="s">
        <v>217</v>
      </c>
    </row>
    <row r="93" spans="1:10">
      <c r="B93" s="71" t="s">
        <v>264</v>
      </c>
      <c r="C93" s="71" t="s">
        <v>152</v>
      </c>
      <c r="E93" s="71" t="s">
        <v>265</v>
      </c>
      <c r="F93" s="71" t="s">
        <v>198</v>
      </c>
      <c r="G93" s="71" t="s">
        <v>265</v>
      </c>
      <c r="H93" s="71" t="s">
        <v>198</v>
      </c>
      <c r="J93" s="227" t="s">
        <v>217</v>
      </c>
    </row>
    <row r="94" spans="1:10">
      <c r="B94" s="71" t="s">
        <v>266</v>
      </c>
      <c r="C94" s="71" t="s">
        <v>152</v>
      </c>
      <c r="E94" s="71" t="s">
        <v>267</v>
      </c>
      <c r="F94" s="71" t="s">
        <v>198</v>
      </c>
      <c r="G94" s="71" t="s">
        <v>267</v>
      </c>
      <c r="H94" s="71" t="s">
        <v>198</v>
      </c>
      <c r="J94" s="227" t="s">
        <v>217</v>
      </c>
    </row>
    <row r="95" spans="1:10">
      <c r="B95" s="71" t="s">
        <v>268</v>
      </c>
      <c r="C95" s="71" t="s">
        <v>152</v>
      </c>
      <c r="E95" s="71" t="s">
        <v>269</v>
      </c>
      <c r="F95" s="71" t="s">
        <v>198</v>
      </c>
      <c r="G95" s="71" t="s">
        <v>269</v>
      </c>
      <c r="H95" s="71" t="s">
        <v>198</v>
      </c>
      <c r="J95" s="227" t="s">
        <v>217</v>
      </c>
    </row>
    <row r="96" spans="1:10">
      <c r="E96" s="163"/>
      <c r="F96" s="163"/>
      <c r="G96" s="163"/>
      <c r="H96" s="163"/>
      <c r="J96" s="227"/>
    </row>
    <row r="98" spans="3:10">
      <c r="C98" s="163" t="s">
        <v>642</v>
      </c>
      <c r="E98" s="163" t="s">
        <v>189</v>
      </c>
      <c r="F98" s="163" t="s">
        <v>194</v>
      </c>
      <c r="G98" s="163" t="s">
        <v>692</v>
      </c>
      <c r="H98" s="163" t="s">
        <v>201</v>
      </c>
      <c r="J98" s="163" t="s">
        <v>217</v>
      </c>
    </row>
    <row r="99" spans="3:10">
      <c r="C99" s="163" t="s">
        <v>642</v>
      </c>
      <c r="E99" s="163" t="s">
        <v>646</v>
      </c>
      <c r="F99" s="163" t="s">
        <v>194</v>
      </c>
      <c r="G99" s="163" t="s">
        <v>686</v>
      </c>
      <c r="H99" s="163" t="s">
        <v>201</v>
      </c>
      <c r="J99" s="163" t="s">
        <v>217</v>
      </c>
    </row>
    <row r="101" spans="3:10">
      <c r="C101" s="71" t="s">
        <v>606</v>
      </c>
      <c r="E101" s="163" t="s">
        <v>189</v>
      </c>
      <c r="F101" s="163" t="s">
        <v>194</v>
      </c>
      <c r="G101" s="163" t="s">
        <v>209</v>
      </c>
      <c r="H101" s="163" t="s">
        <v>195</v>
      </c>
      <c r="J101" s="163" t="s">
        <v>217</v>
      </c>
    </row>
  </sheetData>
  <phoneticPr fontId="0"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1"/>
  <dimension ref="A1:AR66"/>
  <sheetViews>
    <sheetView workbookViewId="0">
      <selection activeCell="E26" sqref="E26"/>
    </sheetView>
  </sheetViews>
  <sheetFormatPr defaultRowHeight="12.5"/>
  <sheetData>
    <row r="1" spans="1:44" ht="14.5">
      <c r="A1" s="453" t="s">
        <v>663</v>
      </c>
      <c r="B1" s="453"/>
      <c r="H1" s="454">
        <v>1.0129999999999999</v>
      </c>
      <c r="I1" s="454">
        <v>0.1</v>
      </c>
      <c r="J1" s="454"/>
      <c r="M1" s="49"/>
    </row>
    <row r="2" spans="1:44">
      <c r="A2" s="870" t="s">
        <v>234</v>
      </c>
      <c r="B2" s="871"/>
      <c r="C2" s="871"/>
      <c r="D2" s="872"/>
      <c r="E2" s="870" t="s">
        <v>235</v>
      </c>
      <c r="F2" s="871"/>
      <c r="G2" s="871"/>
      <c r="H2" s="871"/>
      <c r="I2" s="870" t="s">
        <v>236</v>
      </c>
      <c r="J2" s="871"/>
      <c r="K2" s="871"/>
      <c r="L2" s="871"/>
      <c r="M2" s="870" t="s">
        <v>237</v>
      </c>
      <c r="N2" s="871"/>
      <c r="O2" s="871"/>
      <c r="P2" s="872"/>
      <c r="Q2" s="870" t="s">
        <v>238</v>
      </c>
      <c r="R2" s="871"/>
      <c r="S2" s="871"/>
      <c r="T2" s="872"/>
      <c r="U2" s="870" t="s">
        <v>305</v>
      </c>
      <c r="V2" s="871"/>
      <c r="W2" s="871"/>
      <c r="X2" s="872"/>
      <c r="Y2" s="870" t="s">
        <v>239</v>
      </c>
      <c r="Z2" s="871"/>
      <c r="AA2" s="871"/>
      <c r="AB2" s="871"/>
      <c r="AC2" s="870" t="s">
        <v>315</v>
      </c>
      <c r="AD2" s="871"/>
      <c r="AE2" s="871"/>
      <c r="AF2" s="872"/>
      <c r="AG2" s="870" t="s">
        <v>240</v>
      </c>
      <c r="AH2" s="871"/>
      <c r="AI2" s="871"/>
      <c r="AJ2" s="872"/>
      <c r="AK2" s="870" t="s">
        <v>241</v>
      </c>
      <c r="AL2" s="871"/>
      <c r="AM2" s="871"/>
      <c r="AN2" s="872"/>
      <c r="AO2" s="870" t="s">
        <v>243</v>
      </c>
      <c r="AP2" s="871"/>
      <c r="AQ2" s="871"/>
      <c r="AR2" s="872"/>
    </row>
    <row r="3" spans="1:44">
      <c r="A3" s="455">
        <f>COUNTA(A4:A19)</f>
        <v>16</v>
      </c>
      <c r="B3" s="456" t="s">
        <v>666</v>
      </c>
      <c r="C3" s="456" t="s">
        <v>664</v>
      </c>
      <c r="D3" s="225" t="s">
        <v>665</v>
      </c>
      <c r="E3" s="455">
        <f>COUNTA(E4:E38)</f>
        <v>20</v>
      </c>
      <c r="F3" s="456" t="s">
        <v>666</v>
      </c>
      <c r="G3" s="456" t="s">
        <v>664</v>
      </c>
      <c r="H3" s="456" t="s">
        <v>665</v>
      </c>
      <c r="I3" s="455">
        <f>COUNTA(I4:I38)</f>
        <v>24</v>
      </c>
      <c r="J3" s="456"/>
      <c r="K3" s="456" t="s">
        <v>664</v>
      </c>
      <c r="L3" s="456" t="s">
        <v>665</v>
      </c>
      <c r="M3" s="455">
        <f>COUNTA(M4:M38)</f>
        <v>26</v>
      </c>
      <c r="N3" s="456"/>
      <c r="O3" s="456" t="s">
        <v>664</v>
      </c>
      <c r="P3" s="225" t="s">
        <v>665</v>
      </c>
      <c r="Q3" s="455">
        <f>COUNTA(Q4:Q38)</f>
        <v>27</v>
      </c>
      <c r="R3" s="456"/>
      <c r="S3" s="456" t="s">
        <v>664</v>
      </c>
      <c r="T3" s="225" t="s">
        <v>665</v>
      </c>
      <c r="U3" s="455">
        <f>COUNTA(U4:U50)</f>
        <v>37</v>
      </c>
      <c r="V3" s="456"/>
      <c r="W3" s="456" t="s">
        <v>664</v>
      </c>
      <c r="X3" s="456" t="s">
        <v>665</v>
      </c>
      <c r="Y3" s="455">
        <f>COUNTA(Y4:Y50)</f>
        <v>37</v>
      </c>
      <c r="Z3" s="456"/>
      <c r="AA3" s="456" t="s">
        <v>664</v>
      </c>
      <c r="AB3" s="456" t="s">
        <v>665</v>
      </c>
      <c r="AC3" s="455">
        <f>COUNTA(AC4:AC65)</f>
        <v>61</v>
      </c>
      <c r="AD3" s="456"/>
      <c r="AE3" s="456" t="s">
        <v>664</v>
      </c>
      <c r="AF3" s="225" t="s">
        <v>665</v>
      </c>
      <c r="AG3" s="455">
        <f>COUNTA(AG4:AG65)</f>
        <v>11</v>
      </c>
      <c r="AH3" s="456"/>
      <c r="AI3" s="456" t="s">
        <v>664</v>
      </c>
      <c r="AJ3" s="225" t="s">
        <v>665</v>
      </c>
      <c r="AK3" s="455">
        <f>COUNTA(AK4:AK65)</f>
        <v>18</v>
      </c>
      <c r="AL3" s="456"/>
      <c r="AM3" s="456" t="s">
        <v>664</v>
      </c>
      <c r="AN3" s="225" t="s">
        <v>665</v>
      </c>
      <c r="AO3" s="455">
        <f>COUNTA(AO4:AO38)</f>
        <v>26</v>
      </c>
      <c r="AP3" s="456"/>
      <c r="AQ3" s="456" t="s">
        <v>664</v>
      </c>
      <c r="AR3" s="225" t="s">
        <v>665</v>
      </c>
    </row>
    <row r="4" spans="1:44" ht="13">
      <c r="A4" s="457">
        <v>90</v>
      </c>
      <c r="B4" s="470" t="s">
        <v>667</v>
      </c>
      <c r="C4" s="458">
        <v>365</v>
      </c>
      <c r="D4" s="539">
        <f>(C4+$H$1)-((C4+$H$1)*$I$1)</f>
        <v>329.4117</v>
      </c>
      <c r="E4" s="457">
        <v>90</v>
      </c>
      <c r="F4" s="470" t="s">
        <v>667</v>
      </c>
      <c r="G4" s="458">
        <v>365</v>
      </c>
      <c r="H4" s="458">
        <f>(G4+$H$1)-((G4+$H$1)*$I$1)</f>
        <v>329.4117</v>
      </c>
      <c r="I4" s="457">
        <v>103</v>
      </c>
      <c r="J4" s="470" t="s">
        <v>667</v>
      </c>
      <c r="K4" s="458">
        <v>299</v>
      </c>
      <c r="L4" s="458">
        <f>(K4+$H$1)-((K4+$H$1)*$I$1)</f>
        <v>270.01169999999996</v>
      </c>
      <c r="M4" s="457">
        <v>130</v>
      </c>
      <c r="N4" s="470" t="s">
        <v>667</v>
      </c>
      <c r="O4" s="462">
        <v>340</v>
      </c>
      <c r="P4" s="221">
        <f>(O4+$H$1)-((O4+$H$1)*$I$1)</f>
        <v>306.9117</v>
      </c>
      <c r="Q4" s="463">
        <v>150</v>
      </c>
      <c r="R4" s="472" t="s">
        <v>667</v>
      </c>
      <c r="S4" s="462">
        <v>364.5</v>
      </c>
      <c r="T4" s="221">
        <f>(S4+$H$1)-((S4+$H$1)*$I$1)</f>
        <v>328.96169999999995</v>
      </c>
      <c r="U4" s="457">
        <v>190</v>
      </c>
      <c r="V4" s="470" t="s">
        <v>667</v>
      </c>
      <c r="W4" s="458">
        <v>364.5</v>
      </c>
      <c r="X4" s="458">
        <f>(W4+$H$1)-((W4+$H$1)*$I$1)</f>
        <v>328.96169999999995</v>
      </c>
      <c r="Y4" s="457">
        <v>190</v>
      </c>
      <c r="Z4" s="470" t="s">
        <v>667</v>
      </c>
      <c r="AA4" s="458">
        <v>364.5</v>
      </c>
      <c r="AB4" s="458">
        <f>(AA4+$H$1)-((AA4+$H$1)*$I$1)</f>
        <v>328.96169999999995</v>
      </c>
      <c r="AC4" s="463">
        <v>290</v>
      </c>
      <c r="AD4" s="470" t="s">
        <v>667</v>
      </c>
      <c r="AE4" s="462">
        <v>360.5</v>
      </c>
      <c r="AF4" s="221">
        <f>(AE4+$H$1)-((AE4+$H$1)*$I$1)</f>
        <v>325.36169999999998</v>
      </c>
      <c r="AG4" s="466">
        <v>150</v>
      </c>
      <c r="AH4" s="475" t="s">
        <v>668</v>
      </c>
      <c r="AI4" s="462">
        <v>130</v>
      </c>
      <c r="AJ4" s="221">
        <f>(AI4+$H$1)-((AI4+$H$1)*$I$1)</f>
        <v>117.9117</v>
      </c>
      <c r="AK4" s="463">
        <v>130</v>
      </c>
      <c r="AL4" s="472" t="s">
        <v>667</v>
      </c>
      <c r="AM4" s="462">
        <v>372</v>
      </c>
      <c r="AN4" s="221">
        <f>(AM4+$H$1)-((AM4+$H$1)*$I$1)</f>
        <v>335.71169999999995</v>
      </c>
      <c r="AO4" s="457">
        <v>130</v>
      </c>
      <c r="AP4" s="470" t="s">
        <v>667</v>
      </c>
      <c r="AQ4" s="462">
        <v>340</v>
      </c>
      <c r="AR4" s="221">
        <f>(AQ4+$H$1)-((AQ4+$H$1)*$I$1)</f>
        <v>306.9117</v>
      </c>
    </row>
    <row r="5" spans="1:44" ht="13">
      <c r="A5" s="457">
        <v>103</v>
      </c>
      <c r="B5" s="470" t="s">
        <v>667</v>
      </c>
      <c r="C5" s="458">
        <v>219</v>
      </c>
      <c r="D5" s="539">
        <f t="shared" ref="D5:D19" si="0">(C5+$H$1)-((C5+$H$1)*$I$1)</f>
        <v>198.01170000000002</v>
      </c>
      <c r="E5" s="457">
        <v>103</v>
      </c>
      <c r="F5" s="470" t="s">
        <v>669</v>
      </c>
      <c r="G5" s="458">
        <v>219</v>
      </c>
      <c r="H5" s="458">
        <f t="shared" ref="H5:H17" si="1">(G5+$H$1)-((G5+$H$1)*$I$1)</f>
        <v>198.01170000000002</v>
      </c>
      <c r="I5" s="457">
        <v>116</v>
      </c>
      <c r="J5" s="470" t="s">
        <v>672</v>
      </c>
      <c r="K5" s="458">
        <v>256</v>
      </c>
      <c r="L5" s="458">
        <f t="shared" ref="L5:L27" si="2">(K5+$H$1)-((K5+$H$1)*$I$1)</f>
        <v>231.31169999999997</v>
      </c>
      <c r="M5" s="463">
        <v>150</v>
      </c>
      <c r="N5" s="472" t="s">
        <v>669</v>
      </c>
      <c r="O5" s="462">
        <v>221</v>
      </c>
      <c r="P5" s="221">
        <f t="shared" ref="P5:P29" si="3">(O5+$H$1)-((O5+$H$1)*$I$1)</f>
        <v>199.8117</v>
      </c>
      <c r="Q5" s="463">
        <v>170</v>
      </c>
      <c r="R5" s="472" t="s">
        <v>667</v>
      </c>
      <c r="S5" s="462">
        <v>364.5</v>
      </c>
      <c r="T5" s="221">
        <f>(S5+$H$1)-((S5+$H$1)*$I$1)</f>
        <v>328.96169999999995</v>
      </c>
      <c r="U5" s="457">
        <v>210</v>
      </c>
      <c r="V5" s="470" t="s">
        <v>667</v>
      </c>
      <c r="W5" s="458">
        <v>364.5</v>
      </c>
      <c r="X5" s="458">
        <f t="shared" ref="X5:X38" si="4">(W5+$H$1)-((W5+$H$1)*$I$1)</f>
        <v>328.96169999999995</v>
      </c>
      <c r="Y5" s="457">
        <v>210</v>
      </c>
      <c r="Z5" s="470" t="s">
        <v>667</v>
      </c>
      <c r="AA5" s="458">
        <v>364.5</v>
      </c>
      <c r="AB5" s="458">
        <f t="shared" ref="AB5:AB40" si="5">(AA5+$H$1)-((AA5+$H$1)*$I$1)</f>
        <v>328.96169999999995</v>
      </c>
      <c r="AC5" s="463">
        <v>300</v>
      </c>
      <c r="AD5" s="470" t="s">
        <v>667</v>
      </c>
      <c r="AE5" s="462">
        <v>342</v>
      </c>
      <c r="AF5" s="221">
        <f t="shared" ref="AF5:AF12" si="6">(AE5+$H$1)-((AE5+$H$1)*$I$1)</f>
        <v>308.71169999999995</v>
      </c>
      <c r="AG5" s="466">
        <v>165</v>
      </c>
      <c r="AH5" s="475" t="s">
        <v>668</v>
      </c>
      <c r="AI5" s="462">
        <v>130</v>
      </c>
      <c r="AJ5" s="221">
        <f t="shared" ref="AJ5:AJ14" si="7">(AI5+$H$1)-((AI5+$H$1)*$I$1)</f>
        <v>117.9117</v>
      </c>
      <c r="AK5" s="463">
        <v>150</v>
      </c>
      <c r="AL5" s="472" t="s">
        <v>668</v>
      </c>
      <c r="AM5" s="462">
        <v>130</v>
      </c>
      <c r="AN5" s="221">
        <f t="shared" ref="AN5:AN14" si="8">(AM5+$H$1)-((AM5+$H$1)*$I$1)</f>
        <v>117.9117</v>
      </c>
      <c r="AO5" s="463">
        <v>150</v>
      </c>
      <c r="AP5" s="472" t="s">
        <v>669</v>
      </c>
      <c r="AQ5" s="462">
        <v>221</v>
      </c>
      <c r="AR5" s="221">
        <f t="shared" ref="AR5:AR29" si="9">(AQ5+$H$1)-((AQ5+$H$1)*$I$1)</f>
        <v>199.8117</v>
      </c>
    </row>
    <row r="6" spans="1:44" ht="13">
      <c r="A6" s="457">
        <v>106</v>
      </c>
      <c r="B6" s="470" t="s">
        <v>668</v>
      </c>
      <c r="C6" s="458">
        <v>108</v>
      </c>
      <c r="D6" s="539">
        <f t="shared" si="0"/>
        <v>98.111699999999999</v>
      </c>
      <c r="E6" s="457">
        <v>103</v>
      </c>
      <c r="F6" s="470" t="s">
        <v>667</v>
      </c>
      <c r="G6" s="458">
        <v>365</v>
      </c>
      <c r="H6" s="458">
        <f t="shared" si="1"/>
        <v>329.4117</v>
      </c>
      <c r="I6" s="457">
        <v>130</v>
      </c>
      <c r="J6" s="470" t="s">
        <v>669</v>
      </c>
      <c r="K6" s="458">
        <v>219</v>
      </c>
      <c r="L6" s="458">
        <f t="shared" si="2"/>
        <v>198.01170000000002</v>
      </c>
      <c r="M6" s="463">
        <v>170</v>
      </c>
      <c r="N6" s="472" t="s">
        <v>669</v>
      </c>
      <c r="O6" s="462">
        <v>219</v>
      </c>
      <c r="P6" s="221">
        <f t="shared" si="3"/>
        <v>198.01170000000002</v>
      </c>
      <c r="Q6" s="463">
        <v>190</v>
      </c>
      <c r="R6" s="472" t="s">
        <v>667</v>
      </c>
      <c r="S6" s="462">
        <v>364.5</v>
      </c>
      <c r="T6" s="221">
        <f t="shared" ref="T6:T30" si="10">(S6+$H$1)-((S6+$H$1)*$I$1)</f>
        <v>328.96169999999995</v>
      </c>
      <c r="U6" s="457">
        <v>230</v>
      </c>
      <c r="V6" s="470" t="s">
        <v>667</v>
      </c>
      <c r="W6" s="458">
        <v>364.5</v>
      </c>
      <c r="X6" s="458">
        <f t="shared" si="4"/>
        <v>328.96169999999995</v>
      </c>
      <c r="Y6" s="457">
        <v>230</v>
      </c>
      <c r="Z6" s="470" t="s">
        <v>667</v>
      </c>
      <c r="AA6" s="458">
        <v>364.5</v>
      </c>
      <c r="AB6" s="458">
        <f t="shared" si="5"/>
        <v>328.96169999999995</v>
      </c>
      <c r="AC6" s="463">
        <v>310</v>
      </c>
      <c r="AD6" s="470" t="s">
        <v>667</v>
      </c>
      <c r="AE6" s="462">
        <v>324.5</v>
      </c>
      <c r="AF6" s="221">
        <f t="shared" si="6"/>
        <v>292.96169999999995</v>
      </c>
      <c r="AG6" s="466">
        <v>195</v>
      </c>
      <c r="AH6" s="475" t="s">
        <v>668</v>
      </c>
      <c r="AI6" s="462">
        <v>113</v>
      </c>
      <c r="AJ6" s="221">
        <f t="shared" si="7"/>
        <v>102.6117</v>
      </c>
      <c r="AK6" s="463">
        <v>150</v>
      </c>
      <c r="AL6" s="472" t="s">
        <v>667</v>
      </c>
      <c r="AM6" s="462">
        <v>319</v>
      </c>
      <c r="AN6" s="221">
        <f t="shared" si="8"/>
        <v>288.01169999999996</v>
      </c>
      <c r="AO6" s="463">
        <v>170</v>
      </c>
      <c r="AP6" s="472" t="s">
        <v>669</v>
      </c>
      <c r="AQ6" s="462">
        <v>219</v>
      </c>
      <c r="AR6" s="221">
        <f t="shared" si="9"/>
        <v>198.01170000000002</v>
      </c>
    </row>
    <row r="7" spans="1:44" ht="13">
      <c r="A7" s="457">
        <v>116</v>
      </c>
      <c r="B7" s="470" t="s">
        <v>667</v>
      </c>
      <c r="C7" s="458">
        <v>108</v>
      </c>
      <c r="D7" s="539">
        <f t="shared" si="0"/>
        <v>98.111699999999999</v>
      </c>
      <c r="E7" s="457">
        <v>116</v>
      </c>
      <c r="F7" s="470" t="s">
        <v>669</v>
      </c>
      <c r="G7" s="458">
        <v>212</v>
      </c>
      <c r="H7" s="458">
        <f t="shared" si="1"/>
        <v>191.71170000000001</v>
      </c>
      <c r="I7" s="457">
        <v>150</v>
      </c>
      <c r="J7" s="470" t="s">
        <v>669</v>
      </c>
      <c r="K7" s="458">
        <v>186</v>
      </c>
      <c r="L7" s="458">
        <f t="shared" si="2"/>
        <v>168.3117</v>
      </c>
      <c r="M7" s="463">
        <v>190</v>
      </c>
      <c r="N7" s="472" t="s">
        <v>669</v>
      </c>
      <c r="O7" s="462">
        <v>193</v>
      </c>
      <c r="P7" s="221">
        <f t="shared" si="3"/>
        <v>174.61170000000001</v>
      </c>
      <c r="Q7" s="463">
        <v>210</v>
      </c>
      <c r="R7" s="472" t="s">
        <v>667</v>
      </c>
      <c r="S7" s="462">
        <v>325</v>
      </c>
      <c r="T7" s="221">
        <f t="shared" si="10"/>
        <v>293.4117</v>
      </c>
      <c r="U7" s="457">
        <v>250</v>
      </c>
      <c r="V7" s="470" t="s">
        <v>667</v>
      </c>
      <c r="W7" s="458">
        <v>356</v>
      </c>
      <c r="X7" s="458">
        <f t="shared" si="4"/>
        <v>321.31169999999997</v>
      </c>
      <c r="Y7" s="457">
        <v>250</v>
      </c>
      <c r="Z7" s="470" t="s">
        <v>667</v>
      </c>
      <c r="AA7" s="458">
        <v>356</v>
      </c>
      <c r="AB7" s="458">
        <f t="shared" si="5"/>
        <v>321.31169999999997</v>
      </c>
      <c r="AC7" s="463">
        <v>320</v>
      </c>
      <c r="AD7" s="470" t="s">
        <v>667</v>
      </c>
      <c r="AE7" s="462">
        <v>309</v>
      </c>
      <c r="AF7" s="221">
        <f t="shared" si="6"/>
        <v>279.01169999999996</v>
      </c>
      <c r="AG7" s="466">
        <v>230</v>
      </c>
      <c r="AH7" s="475" t="s">
        <v>668</v>
      </c>
      <c r="AI7" s="462">
        <v>86.5</v>
      </c>
      <c r="AJ7" s="221">
        <f t="shared" si="7"/>
        <v>78.761700000000005</v>
      </c>
      <c r="AK7" s="463">
        <v>165</v>
      </c>
      <c r="AL7" s="472" t="s">
        <v>668</v>
      </c>
      <c r="AM7" s="462">
        <v>130</v>
      </c>
      <c r="AN7" s="221">
        <f t="shared" si="8"/>
        <v>117.9117</v>
      </c>
      <c r="AO7" s="463">
        <v>190</v>
      </c>
      <c r="AP7" s="472" t="s">
        <v>669</v>
      </c>
      <c r="AQ7" s="462">
        <v>193</v>
      </c>
      <c r="AR7" s="221">
        <f t="shared" si="9"/>
        <v>174.61170000000001</v>
      </c>
    </row>
    <row r="8" spans="1:44" ht="13">
      <c r="A8" s="457">
        <v>130</v>
      </c>
      <c r="B8" s="470" t="s">
        <v>669</v>
      </c>
      <c r="C8" s="458">
        <v>162</v>
      </c>
      <c r="D8" s="539">
        <f t="shared" si="0"/>
        <v>146.71170000000001</v>
      </c>
      <c r="E8" s="457">
        <v>130</v>
      </c>
      <c r="F8" s="470" t="s">
        <v>669</v>
      </c>
      <c r="G8" s="458">
        <v>168</v>
      </c>
      <c r="H8" s="458">
        <f t="shared" si="1"/>
        <v>152.11170000000001</v>
      </c>
      <c r="I8" s="457">
        <v>170</v>
      </c>
      <c r="J8" s="470" t="s">
        <v>669</v>
      </c>
      <c r="K8" s="458">
        <v>151</v>
      </c>
      <c r="L8" s="458">
        <f t="shared" si="2"/>
        <v>136.8117</v>
      </c>
      <c r="M8" s="463">
        <v>210</v>
      </c>
      <c r="N8" s="472" t="s">
        <v>673</v>
      </c>
      <c r="O8" s="462">
        <v>129</v>
      </c>
      <c r="P8" s="221">
        <f t="shared" si="3"/>
        <v>117.0117</v>
      </c>
      <c r="Q8" s="463">
        <v>230</v>
      </c>
      <c r="R8" s="472" t="s">
        <v>667</v>
      </c>
      <c r="S8" s="462">
        <v>278</v>
      </c>
      <c r="T8" s="221">
        <f t="shared" si="10"/>
        <v>251.11169999999998</v>
      </c>
      <c r="U8" s="457">
        <v>270</v>
      </c>
      <c r="V8" s="470" t="s">
        <v>667</v>
      </c>
      <c r="W8" s="458">
        <v>319</v>
      </c>
      <c r="X8" s="458">
        <f t="shared" si="4"/>
        <v>288.01169999999996</v>
      </c>
      <c r="Y8" s="457">
        <v>270</v>
      </c>
      <c r="Z8" s="470" t="s">
        <v>667</v>
      </c>
      <c r="AA8" s="458">
        <v>319</v>
      </c>
      <c r="AB8" s="458">
        <f t="shared" si="5"/>
        <v>288.01169999999996</v>
      </c>
      <c r="AC8" s="463">
        <v>330</v>
      </c>
      <c r="AD8" s="470" t="s">
        <v>667</v>
      </c>
      <c r="AE8" s="462">
        <v>294</v>
      </c>
      <c r="AF8" s="221">
        <f t="shared" si="6"/>
        <v>265.51169999999996</v>
      </c>
      <c r="AG8" s="466">
        <v>270</v>
      </c>
      <c r="AH8" s="475" t="s">
        <v>668</v>
      </c>
      <c r="AI8" s="462">
        <v>65</v>
      </c>
      <c r="AJ8" s="221">
        <f t="shared" si="7"/>
        <v>59.411700000000003</v>
      </c>
      <c r="AK8" s="463">
        <v>170</v>
      </c>
      <c r="AL8" s="472" t="s">
        <v>669</v>
      </c>
      <c r="AM8" s="462">
        <v>223</v>
      </c>
      <c r="AN8" s="221">
        <f t="shared" si="8"/>
        <v>201.61170000000001</v>
      </c>
      <c r="AO8" s="463">
        <v>210</v>
      </c>
      <c r="AP8" s="472" t="s">
        <v>673</v>
      </c>
      <c r="AQ8" s="462">
        <v>129</v>
      </c>
      <c r="AR8" s="221">
        <f t="shared" si="9"/>
        <v>117.0117</v>
      </c>
    </row>
    <row r="9" spans="1:44" ht="13">
      <c r="A9" s="457">
        <v>150</v>
      </c>
      <c r="B9" s="470" t="s">
        <v>668</v>
      </c>
      <c r="C9" s="458">
        <v>87</v>
      </c>
      <c r="D9" s="539">
        <f t="shared" si="0"/>
        <v>79.211700000000008</v>
      </c>
      <c r="E9" s="457">
        <v>150</v>
      </c>
      <c r="F9" s="470" t="s">
        <v>668</v>
      </c>
      <c r="G9" s="458">
        <v>87</v>
      </c>
      <c r="H9" s="458">
        <f t="shared" si="1"/>
        <v>79.211700000000008</v>
      </c>
      <c r="I9" s="457">
        <v>190</v>
      </c>
      <c r="J9" s="470" t="s">
        <v>668</v>
      </c>
      <c r="K9" s="458">
        <v>86</v>
      </c>
      <c r="L9" s="458">
        <f t="shared" si="2"/>
        <v>78.311700000000002</v>
      </c>
      <c r="M9" s="463">
        <v>210</v>
      </c>
      <c r="N9" s="472" t="s">
        <v>669</v>
      </c>
      <c r="O9" s="462">
        <v>170</v>
      </c>
      <c r="P9" s="221">
        <f t="shared" si="3"/>
        <v>153.9117</v>
      </c>
      <c r="Q9" s="463">
        <v>250</v>
      </c>
      <c r="R9" s="472" t="s">
        <v>669</v>
      </c>
      <c r="S9" s="462">
        <v>218.5</v>
      </c>
      <c r="T9" s="221">
        <f t="shared" si="10"/>
        <v>197.5617</v>
      </c>
      <c r="U9" s="457">
        <v>290</v>
      </c>
      <c r="V9" s="470" t="s">
        <v>667</v>
      </c>
      <c r="W9" s="458">
        <v>285</v>
      </c>
      <c r="X9" s="458">
        <f t="shared" si="4"/>
        <v>257.4117</v>
      </c>
      <c r="Y9" s="457">
        <v>290</v>
      </c>
      <c r="Z9" s="470" t="s">
        <v>667</v>
      </c>
      <c r="AA9" s="458">
        <v>285</v>
      </c>
      <c r="AB9" s="458">
        <f t="shared" si="5"/>
        <v>257.4117</v>
      </c>
      <c r="AC9" s="463">
        <v>340</v>
      </c>
      <c r="AD9" s="470" t="s">
        <v>667</v>
      </c>
      <c r="AE9" s="462">
        <v>280</v>
      </c>
      <c r="AF9" s="221">
        <f t="shared" si="6"/>
        <v>252.91169999999997</v>
      </c>
      <c r="AG9" s="466">
        <v>310</v>
      </c>
      <c r="AH9" s="475" t="s">
        <v>670</v>
      </c>
      <c r="AI9" s="462">
        <v>59</v>
      </c>
      <c r="AJ9" s="221">
        <f t="shared" si="7"/>
        <v>54.011699999999998</v>
      </c>
      <c r="AK9" s="463">
        <v>180</v>
      </c>
      <c r="AL9" s="472" t="s">
        <v>669</v>
      </c>
      <c r="AM9" s="462">
        <v>205</v>
      </c>
      <c r="AN9" s="221">
        <f t="shared" si="8"/>
        <v>185.4117</v>
      </c>
      <c r="AO9" s="463">
        <v>210</v>
      </c>
      <c r="AP9" s="472" t="s">
        <v>669</v>
      </c>
      <c r="AQ9" s="462">
        <v>170</v>
      </c>
      <c r="AR9" s="221">
        <f t="shared" si="9"/>
        <v>153.9117</v>
      </c>
    </row>
    <row r="10" spans="1:44" ht="13">
      <c r="A10" s="457">
        <v>150</v>
      </c>
      <c r="B10" s="470" t="s">
        <v>669</v>
      </c>
      <c r="C10" s="458">
        <v>137</v>
      </c>
      <c r="D10" s="539">
        <f t="shared" si="0"/>
        <v>124.21170000000001</v>
      </c>
      <c r="E10" s="457">
        <v>150</v>
      </c>
      <c r="F10" s="470" t="s">
        <v>669</v>
      </c>
      <c r="G10" s="458">
        <v>185</v>
      </c>
      <c r="H10" s="458">
        <f t="shared" si="1"/>
        <v>167.4117</v>
      </c>
      <c r="I10" s="457">
        <v>190</v>
      </c>
      <c r="J10" s="470" t="s">
        <v>669</v>
      </c>
      <c r="K10" s="458">
        <v>142</v>
      </c>
      <c r="L10" s="458">
        <f t="shared" si="2"/>
        <v>128.71170000000001</v>
      </c>
      <c r="M10" s="463">
        <v>230</v>
      </c>
      <c r="N10" s="472" t="s">
        <v>668</v>
      </c>
      <c r="O10" s="462">
        <v>90</v>
      </c>
      <c r="P10" s="221">
        <f t="shared" si="3"/>
        <v>81.91170000000001</v>
      </c>
      <c r="Q10" s="463">
        <v>270</v>
      </c>
      <c r="R10" s="472" t="s">
        <v>669</v>
      </c>
      <c r="S10" s="462">
        <v>215</v>
      </c>
      <c r="T10" s="221">
        <f t="shared" si="10"/>
        <v>194.4117</v>
      </c>
      <c r="U10" s="457">
        <v>310</v>
      </c>
      <c r="V10" s="470" t="s">
        <v>673</v>
      </c>
      <c r="W10" s="458">
        <v>180</v>
      </c>
      <c r="X10" s="458">
        <f t="shared" si="4"/>
        <v>162.9117</v>
      </c>
      <c r="Y10" s="457">
        <v>310</v>
      </c>
      <c r="Z10" s="470" t="s">
        <v>673</v>
      </c>
      <c r="AA10" s="458">
        <v>180</v>
      </c>
      <c r="AB10" s="458">
        <f t="shared" si="5"/>
        <v>162.9117</v>
      </c>
      <c r="AC10" s="463">
        <v>350</v>
      </c>
      <c r="AD10" s="470" t="s">
        <v>667</v>
      </c>
      <c r="AE10" s="462">
        <v>267</v>
      </c>
      <c r="AF10" s="221">
        <f t="shared" si="6"/>
        <v>241.21169999999998</v>
      </c>
      <c r="AG10" s="466">
        <v>360</v>
      </c>
      <c r="AH10" s="475" t="s">
        <v>670</v>
      </c>
      <c r="AI10" s="462">
        <v>44</v>
      </c>
      <c r="AJ10" s="221">
        <f t="shared" si="7"/>
        <v>40.511699999999998</v>
      </c>
      <c r="AK10" s="463">
        <v>195</v>
      </c>
      <c r="AL10" s="472" t="s">
        <v>668</v>
      </c>
      <c r="AM10" s="462">
        <v>113</v>
      </c>
      <c r="AN10" s="221">
        <f t="shared" si="8"/>
        <v>102.6117</v>
      </c>
      <c r="AO10" s="463">
        <v>230</v>
      </c>
      <c r="AP10" s="472" t="s">
        <v>668</v>
      </c>
      <c r="AQ10" s="462">
        <v>90</v>
      </c>
      <c r="AR10" s="221">
        <f t="shared" si="9"/>
        <v>81.91170000000001</v>
      </c>
    </row>
    <row r="11" spans="1:44" ht="13">
      <c r="A11" s="457">
        <v>190</v>
      </c>
      <c r="B11" s="470" t="s">
        <v>668</v>
      </c>
      <c r="C11" s="458">
        <v>68</v>
      </c>
      <c r="D11" s="539">
        <f t="shared" si="0"/>
        <v>62.111700000000006</v>
      </c>
      <c r="E11" s="457">
        <v>170</v>
      </c>
      <c r="F11" s="470" t="s">
        <v>669</v>
      </c>
      <c r="G11" s="458">
        <v>141</v>
      </c>
      <c r="H11" s="458">
        <f t="shared" si="1"/>
        <v>127.8117</v>
      </c>
      <c r="I11" s="457">
        <v>210</v>
      </c>
      <c r="J11" s="470" t="s">
        <v>673</v>
      </c>
      <c r="K11" s="458">
        <v>124</v>
      </c>
      <c r="L11" s="458">
        <f t="shared" si="2"/>
        <v>112.5117</v>
      </c>
      <c r="M11" s="463">
        <v>230</v>
      </c>
      <c r="N11" s="472" t="s">
        <v>673</v>
      </c>
      <c r="O11" s="462">
        <v>129</v>
      </c>
      <c r="P11" s="221">
        <f t="shared" si="3"/>
        <v>117.0117</v>
      </c>
      <c r="Q11" s="463">
        <v>310</v>
      </c>
      <c r="R11" s="472" t="s">
        <v>673</v>
      </c>
      <c r="S11" s="462">
        <v>170</v>
      </c>
      <c r="T11" s="221">
        <f t="shared" si="10"/>
        <v>153.9117</v>
      </c>
      <c r="U11" s="457">
        <v>310</v>
      </c>
      <c r="V11" s="470" t="s">
        <v>667</v>
      </c>
      <c r="W11" s="458">
        <v>260</v>
      </c>
      <c r="X11" s="458">
        <f t="shared" si="4"/>
        <v>234.91169999999997</v>
      </c>
      <c r="Y11" s="457">
        <v>310</v>
      </c>
      <c r="Z11" s="470" t="s">
        <v>667</v>
      </c>
      <c r="AA11" s="458">
        <v>260</v>
      </c>
      <c r="AB11" s="458">
        <f t="shared" si="5"/>
        <v>234.91169999999997</v>
      </c>
      <c r="AC11" s="463">
        <v>360</v>
      </c>
      <c r="AD11" s="470" t="s">
        <v>667</v>
      </c>
      <c r="AE11" s="462">
        <v>254.5</v>
      </c>
      <c r="AF11" s="221">
        <f t="shared" si="6"/>
        <v>229.96170000000001</v>
      </c>
      <c r="AG11" s="466">
        <v>420</v>
      </c>
      <c r="AH11" s="475" t="s">
        <v>670</v>
      </c>
      <c r="AI11" s="462">
        <v>35</v>
      </c>
      <c r="AJ11" s="221">
        <f t="shared" si="7"/>
        <v>32.411699999999996</v>
      </c>
      <c r="AK11" s="463">
        <v>195</v>
      </c>
      <c r="AL11" s="472" t="s">
        <v>669</v>
      </c>
      <c r="AM11" s="462">
        <v>187</v>
      </c>
      <c r="AN11" s="221">
        <f t="shared" si="8"/>
        <v>169.21170000000001</v>
      </c>
      <c r="AO11" s="463">
        <v>230</v>
      </c>
      <c r="AP11" s="472" t="s">
        <v>673</v>
      </c>
      <c r="AQ11" s="462">
        <v>129</v>
      </c>
      <c r="AR11" s="221">
        <f t="shared" si="9"/>
        <v>117.0117</v>
      </c>
    </row>
    <row r="12" spans="1:44" ht="13">
      <c r="A12" s="457">
        <v>230</v>
      </c>
      <c r="B12" s="470" t="s">
        <v>668</v>
      </c>
      <c r="C12" s="458">
        <v>42</v>
      </c>
      <c r="D12" s="539">
        <f t="shared" si="0"/>
        <v>38.7117</v>
      </c>
      <c r="E12" s="457">
        <v>190</v>
      </c>
      <c r="F12" s="470" t="s">
        <v>668</v>
      </c>
      <c r="G12" s="458">
        <v>68</v>
      </c>
      <c r="H12" s="458">
        <f t="shared" si="1"/>
        <v>62.111700000000006</v>
      </c>
      <c r="I12" s="457">
        <v>210</v>
      </c>
      <c r="J12" s="470" t="s">
        <v>669</v>
      </c>
      <c r="K12" s="458">
        <v>130</v>
      </c>
      <c r="L12" s="458">
        <f t="shared" si="2"/>
        <v>117.9117</v>
      </c>
      <c r="M12" s="463">
        <v>230</v>
      </c>
      <c r="N12" s="472" t="s">
        <v>669</v>
      </c>
      <c r="O12" s="462">
        <v>190</v>
      </c>
      <c r="P12" s="221">
        <f t="shared" si="3"/>
        <v>171.9117</v>
      </c>
      <c r="Q12" s="463">
        <v>320</v>
      </c>
      <c r="R12" s="472" t="s">
        <v>673</v>
      </c>
      <c r="S12" s="462">
        <v>138</v>
      </c>
      <c r="T12" s="221">
        <f t="shared" si="10"/>
        <v>125.1117</v>
      </c>
      <c r="U12" s="457">
        <v>320</v>
      </c>
      <c r="V12" s="470" t="s">
        <v>673</v>
      </c>
      <c r="W12" s="458">
        <v>190</v>
      </c>
      <c r="X12" s="458">
        <f t="shared" si="4"/>
        <v>171.9117</v>
      </c>
      <c r="Y12" s="457">
        <v>320</v>
      </c>
      <c r="Z12" s="470" t="s">
        <v>673</v>
      </c>
      <c r="AA12" s="458">
        <v>190</v>
      </c>
      <c r="AB12" s="458">
        <f t="shared" si="5"/>
        <v>171.9117</v>
      </c>
      <c r="AC12" s="463">
        <v>370</v>
      </c>
      <c r="AD12" s="470" t="s">
        <v>667</v>
      </c>
      <c r="AE12" s="462">
        <v>243</v>
      </c>
      <c r="AF12" s="221">
        <f t="shared" si="6"/>
        <v>219.61170000000001</v>
      </c>
      <c r="AG12" s="466">
        <v>480</v>
      </c>
      <c r="AH12" s="475" t="s">
        <v>670</v>
      </c>
      <c r="AI12" s="462">
        <v>23</v>
      </c>
      <c r="AJ12" s="221">
        <f t="shared" si="7"/>
        <v>21.611699999999999</v>
      </c>
      <c r="AK12" s="463">
        <v>230</v>
      </c>
      <c r="AL12" s="472" t="s">
        <v>668</v>
      </c>
      <c r="AM12" s="462">
        <v>86.5</v>
      </c>
      <c r="AN12" s="221">
        <f t="shared" si="8"/>
        <v>78.761700000000005</v>
      </c>
      <c r="AO12" s="463">
        <v>230</v>
      </c>
      <c r="AP12" s="472" t="s">
        <v>669</v>
      </c>
      <c r="AQ12" s="462">
        <v>190</v>
      </c>
      <c r="AR12" s="221">
        <f t="shared" si="9"/>
        <v>171.9117</v>
      </c>
    </row>
    <row r="13" spans="1:44" ht="13">
      <c r="A13" s="457">
        <v>270</v>
      </c>
      <c r="B13" s="470" t="s">
        <v>668</v>
      </c>
      <c r="C13" s="458">
        <v>33</v>
      </c>
      <c r="D13" s="539">
        <f t="shared" si="0"/>
        <v>30.611699999999999</v>
      </c>
      <c r="E13" s="457">
        <v>190</v>
      </c>
      <c r="F13" s="470" t="s">
        <v>669</v>
      </c>
      <c r="G13" s="458">
        <v>101</v>
      </c>
      <c r="H13" s="458">
        <f t="shared" si="1"/>
        <v>91.811700000000002</v>
      </c>
      <c r="I13" s="457">
        <v>230</v>
      </c>
      <c r="J13" s="470" t="s">
        <v>668</v>
      </c>
      <c r="K13" s="458">
        <v>86</v>
      </c>
      <c r="L13" s="458">
        <f t="shared" si="2"/>
        <v>78.311700000000002</v>
      </c>
      <c r="M13" s="463">
        <v>250</v>
      </c>
      <c r="N13" s="472" t="s">
        <v>673</v>
      </c>
      <c r="O13" s="462">
        <v>135</v>
      </c>
      <c r="P13" s="221">
        <f t="shared" si="3"/>
        <v>122.4117</v>
      </c>
      <c r="Q13" s="463">
        <v>360</v>
      </c>
      <c r="R13" s="472" t="s">
        <v>673</v>
      </c>
      <c r="S13" s="462">
        <v>121</v>
      </c>
      <c r="T13" s="221">
        <f t="shared" si="10"/>
        <v>109.8117</v>
      </c>
      <c r="U13" s="457">
        <v>360</v>
      </c>
      <c r="V13" s="470" t="s">
        <v>673</v>
      </c>
      <c r="W13" s="458">
        <v>188</v>
      </c>
      <c r="X13" s="458">
        <f t="shared" si="4"/>
        <v>170.11170000000001</v>
      </c>
      <c r="Y13" s="457">
        <v>360</v>
      </c>
      <c r="Z13" s="470" t="s">
        <v>673</v>
      </c>
      <c r="AA13" s="458">
        <v>188</v>
      </c>
      <c r="AB13" s="458">
        <f t="shared" si="5"/>
        <v>170.11170000000001</v>
      </c>
      <c r="AC13" s="463">
        <v>380</v>
      </c>
      <c r="AD13" s="472" t="s">
        <v>669</v>
      </c>
      <c r="AE13" s="467">
        <v>-999</v>
      </c>
      <c r="AF13" s="478">
        <v>-999</v>
      </c>
      <c r="AG13" s="466">
        <v>555</v>
      </c>
      <c r="AH13" s="475" t="s">
        <v>670</v>
      </c>
      <c r="AI13" s="462">
        <v>23</v>
      </c>
      <c r="AJ13" s="221">
        <f t="shared" si="7"/>
        <v>21.611699999999999</v>
      </c>
      <c r="AK13" s="463">
        <v>230</v>
      </c>
      <c r="AL13" s="472" t="s">
        <v>673</v>
      </c>
      <c r="AM13" s="462">
        <v>165</v>
      </c>
      <c r="AN13" s="221">
        <f t="shared" si="8"/>
        <v>149.4117</v>
      </c>
      <c r="AO13" s="463">
        <v>250</v>
      </c>
      <c r="AP13" s="472" t="s">
        <v>673</v>
      </c>
      <c r="AQ13" s="462">
        <v>135</v>
      </c>
      <c r="AR13" s="221">
        <f t="shared" si="9"/>
        <v>122.4117</v>
      </c>
    </row>
    <row r="14" spans="1:44" ht="13">
      <c r="A14" s="457">
        <v>310</v>
      </c>
      <c r="B14" s="470" t="s">
        <v>670</v>
      </c>
      <c r="C14" s="458">
        <v>25</v>
      </c>
      <c r="D14" s="539">
        <f t="shared" si="0"/>
        <v>23.411699999999996</v>
      </c>
      <c r="E14" s="457">
        <v>230</v>
      </c>
      <c r="F14" s="470" t="s">
        <v>668</v>
      </c>
      <c r="G14" s="458">
        <v>75.5</v>
      </c>
      <c r="H14" s="458">
        <f t="shared" si="1"/>
        <v>68.861699999999999</v>
      </c>
      <c r="I14" s="457">
        <v>230</v>
      </c>
      <c r="J14" s="470" t="s">
        <v>673</v>
      </c>
      <c r="K14" s="458">
        <v>124</v>
      </c>
      <c r="L14" s="458">
        <f t="shared" si="2"/>
        <v>112.5117</v>
      </c>
      <c r="M14" s="463">
        <v>270</v>
      </c>
      <c r="N14" s="472" t="s">
        <v>668</v>
      </c>
      <c r="O14" s="462">
        <v>87</v>
      </c>
      <c r="P14" s="221">
        <f t="shared" si="3"/>
        <v>79.211700000000008</v>
      </c>
      <c r="Q14" s="463">
        <v>410</v>
      </c>
      <c r="R14" s="472" t="s">
        <v>668</v>
      </c>
      <c r="S14" s="462">
        <v>64</v>
      </c>
      <c r="T14" s="221">
        <f t="shared" si="10"/>
        <v>58.511700000000005</v>
      </c>
      <c r="U14" s="457">
        <v>410</v>
      </c>
      <c r="V14" s="470" t="s">
        <v>668</v>
      </c>
      <c r="W14" s="458">
        <v>64.5</v>
      </c>
      <c r="X14" s="458">
        <f t="shared" si="4"/>
        <v>58.961700000000008</v>
      </c>
      <c r="Y14" s="457">
        <v>410</v>
      </c>
      <c r="Z14" s="470" t="s">
        <v>668</v>
      </c>
      <c r="AA14" s="458">
        <v>64.5</v>
      </c>
      <c r="AB14" s="458">
        <f t="shared" si="5"/>
        <v>58.961700000000008</v>
      </c>
      <c r="AC14" s="463">
        <v>390</v>
      </c>
      <c r="AD14" s="472" t="s">
        <v>669</v>
      </c>
      <c r="AE14" s="467">
        <v>-999</v>
      </c>
      <c r="AF14" s="478">
        <v>-999</v>
      </c>
      <c r="AG14" s="236">
        <v>645</v>
      </c>
      <c r="AH14" s="479" t="s">
        <v>670</v>
      </c>
      <c r="AI14" s="465">
        <v>11</v>
      </c>
      <c r="AJ14" s="461">
        <f t="shared" si="7"/>
        <v>10.8117</v>
      </c>
      <c r="AK14" s="463">
        <v>270</v>
      </c>
      <c r="AL14" s="472" t="s">
        <v>673</v>
      </c>
      <c r="AM14" s="462">
        <v>132</v>
      </c>
      <c r="AN14" s="221">
        <f t="shared" si="8"/>
        <v>119.71170000000001</v>
      </c>
      <c r="AO14" s="463">
        <v>270</v>
      </c>
      <c r="AP14" s="472" t="s">
        <v>668</v>
      </c>
      <c r="AQ14" s="462">
        <v>87</v>
      </c>
      <c r="AR14" s="221">
        <f t="shared" si="9"/>
        <v>79.211700000000008</v>
      </c>
    </row>
    <row r="15" spans="1:44" ht="13">
      <c r="A15" s="457">
        <v>360</v>
      </c>
      <c r="B15" s="470" t="s">
        <v>671</v>
      </c>
      <c r="C15" s="458">
        <v>18</v>
      </c>
      <c r="D15" s="539">
        <f t="shared" si="0"/>
        <v>17.111699999999999</v>
      </c>
      <c r="E15" s="457">
        <v>270</v>
      </c>
      <c r="F15" s="470" t="s">
        <v>668</v>
      </c>
      <c r="G15" s="458">
        <v>56</v>
      </c>
      <c r="H15" s="458">
        <f t="shared" si="1"/>
        <v>51.311700000000002</v>
      </c>
      <c r="I15" s="457">
        <v>250</v>
      </c>
      <c r="J15" s="470" t="s">
        <v>673</v>
      </c>
      <c r="K15" s="458">
        <v>135</v>
      </c>
      <c r="L15" s="458">
        <f t="shared" si="2"/>
        <v>122.4117</v>
      </c>
      <c r="M15" s="463">
        <v>270</v>
      </c>
      <c r="N15" s="472" t="s">
        <v>673</v>
      </c>
      <c r="O15" s="462">
        <v>125</v>
      </c>
      <c r="P15" s="221">
        <f t="shared" si="3"/>
        <v>113.4117</v>
      </c>
      <c r="Q15" s="463">
        <v>410</v>
      </c>
      <c r="R15" s="472" t="s">
        <v>673</v>
      </c>
      <c r="S15" s="462">
        <v>95</v>
      </c>
      <c r="T15" s="221">
        <f t="shared" si="10"/>
        <v>86.411699999999996</v>
      </c>
      <c r="U15" s="457">
        <v>410</v>
      </c>
      <c r="V15" s="470" t="s">
        <v>675</v>
      </c>
      <c r="W15" s="458">
        <v>100</v>
      </c>
      <c r="X15" s="458">
        <f t="shared" si="4"/>
        <v>90.911699999999996</v>
      </c>
      <c r="Y15" s="457">
        <v>410</v>
      </c>
      <c r="Z15" s="470" t="s">
        <v>675</v>
      </c>
      <c r="AA15" s="458">
        <v>100</v>
      </c>
      <c r="AB15" s="458">
        <f t="shared" si="5"/>
        <v>90.911699999999996</v>
      </c>
      <c r="AC15" s="463">
        <v>400</v>
      </c>
      <c r="AD15" s="472" t="s">
        <v>669</v>
      </c>
      <c r="AE15" s="467">
        <v>-999</v>
      </c>
      <c r="AF15" s="478">
        <v>-999</v>
      </c>
      <c r="AK15" s="463">
        <v>310</v>
      </c>
      <c r="AL15" s="472" t="s">
        <v>668</v>
      </c>
      <c r="AM15" s="467">
        <v>-999</v>
      </c>
      <c r="AN15" s="478">
        <v>-999</v>
      </c>
      <c r="AO15" s="463">
        <v>270</v>
      </c>
      <c r="AP15" s="472" t="s">
        <v>673</v>
      </c>
      <c r="AQ15" s="462">
        <v>125</v>
      </c>
      <c r="AR15" s="221">
        <f t="shared" si="9"/>
        <v>113.4117</v>
      </c>
    </row>
    <row r="16" spans="1:44" ht="13">
      <c r="A16" s="457">
        <v>410</v>
      </c>
      <c r="B16" s="470" t="s">
        <v>671</v>
      </c>
      <c r="C16" s="458">
        <v>14</v>
      </c>
      <c r="D16" s="539">
        <f t="shared" si="0"/>
        <v>13.511699999999999</v>
      </c>
      <c r="E16" s="457">
        <v>310</v>
      </c>
      <c r="F16" s="470" t="s">
        <v>670</v>
      </c>
      <c r="G16" s="458">
        <v>40.5</v>
      </c>
      <c r="H16" s="458">
        <f t="shared" si="1"/>
        <v>37.361699999999999</v>
      </c>
      <c r="I16" s="457">
        <v>270</v>
      </c>
      <c r="J16" s="470" t="s">
        <v>668</v>
      </c>
      <c r="K16" s="458">
        <v>86</v>
      </c>
      <c r="L16" s="458">
        <f t="shared" si="2"/>
        <v>78.311700000000002</v>
      </c>
      <c r="M16" s="463">
        <v>310</v>
      </c>
      <c r="N16" s="472" t="s">
        <v>668</v>
      </c>
      <c r="O16" s="462">
        <v>87</v>
      </c>
      <c r="P16" s="221">
        <f t="shared" si="3"/>
        <v>79.211700000000008</v>
      </c>
      <c r="Q16" s="463">
        <v>460</v>
      </c>
      <c r="R16" s="472" t="s">
        <v>668</v>
      </c>
      <c r="S16" s="462">
        <v>64</v>
      </c>
      <c r="T16" s="221">
        <f t="shared" si="10"/>
        <v>58.511700000000005</v>
      </c>
      <c r="U16" s="457">
        <v>410</v>
      </c>
      <c r="V16" s="470" t="s">
        <v>673</v>
      </c>
      <c r="W16" s="458">
        <v>171</v>
      </c>
      <c r="X16" s="458">
        <f t="shared" si="4"/>
        <v>154.8117</v>
      </c>
      <c r="Y16" s="457">
        <v>410</v>
      </c>
      <c r="Z16" s="470" t="s">
        <v>673</v>
      </c>
      <c r="AA16" s="458">
        <v>171</v>
      </c>
      <c r="AB16" s="458">
        <f t="shared" si="5"/>
        <v>154.8117</v>
      </c>
      <c r="AC16" s="463">
        <v>410</v>
      </c>
      <c r="AD16" s="472" t="s">
        <v>669</v>
      </c>
      <c r="AE16" s="467">
        <v>-999</v>
      </c>
      <c r="AF16" s="478">
        <v>-999</v>
      </c>
      <c r="AK16" s="463">
        <v>360</v>
      </c>
      <c r="AL16" s="472" t="s">
        <v>670</v>
      </c>
      <c r="AM16" s="467">
        <v>-999</v>
      </c>
      <c r="AN16" s="478">
        <v>-999</v>
      </c>
      <c r="AO16" s="463">
        <v>310</v>
      </c>
      <c r="AP16" s="472" t="s">
        <v>668</v>
      </c>
      <c r="AQ16" s="462">
        <v>87</v>
      </c>
      <c r="AR16" s="221">
        <f t="shared" si="9"/>
        <v>79.211700000000008</v>
      </c>
    </row>
    <row r="17" spans="1:44" ht="13">
      <c r="A17" s="457">
        <v>460</v>
      </c>
      <c r="B17" s="470" t="s">
        <v>670</v>
      </c>
      <c r="C17" s="458">
        <v>11</v>
      </c>
      <c r="D17" s="539">
        <f t="shared" si="0"/>
        <v>10.8117</v>
      </c>
      <c r="E17" s="457">
        <v>360</v>
      </c>
      <c r="F17" s="470" t="s">
        <v>670</v>
      </c>
      <c r="G17" s="458">
        <v>28</v>
      </c>
      <c r="H17" s="458">
        <f t="shared" si="1"/>
        <v>26.111699999999999</v>
      </c>
      <c r="I17" s="457">
        <v>270</v>
      </c>
      <c r="J17" s="470" t="s">
        <v>673</v>
      </c>
      <c r="K17" s="458">
        <v>135</v>
      </c>
      <c r="L17" s="458">
        <f t="shared" si="2"/>
        <v>122.4117</v>
      </c>
      <c r="M17" s="463">
        <v>360</v>
      </c>
      <c r="N17" s="472" t="s">
        <v>668</v>
      </c>
      <c r="O17" s="462">
        <v>66</v>
      </c>
      <c r="P17" s="221">
        <f t="shared" si="3"/>
        <v>60.311700000000002</v>
      </c>
      <c r="Q17" s="463">
        <v>460</v>
      </c>
      <c r="R17" s="472" t="s">
        <v>673</v>
      </c>
      <c r="S17" s="462">
        <v>74</v>
      </c>
      <c r="T17" s="221">
        <f t="shared" si="10"/>
        <v>67.511700000000005</v>
      </c>
      <c r="U17" s="457">
        <v>460</v>
      </c>
      <c r="V17" s="470" t="s">
        <v>668</v>
      </c>
      <c r="W17" s="458">
        <v>63.5</v>
      </c>
      <c r="X17" s="458">
        <f t="shared" si="4"/>
        <v>58.061700000000002</v>
      </c>
      <c r="Y17" s="457">
        <v>460</v>
      </c>
      <c r="Z17" s="470" t="s">
        <v>668</v>
      </c>
      <c r="AA17" s="458">
        <v>63.5</v>
      </c>
      <c r="AB17" s="458">
        <f t="shared" si="5"/>
        <v>58.061700000000002</v>
      </c>
      <c r="AC17" s="463">
        <v>420</v>
      </c>
      <c r="AD17" s="472" t="s">
        <v>669</v>
      </c>
      <c r="AE17" s="467">
        <v>-999</v>
      </c>
      <c r="AF17" s="478">
        <v>-999</v>
      </c>
      <c r="AK17" s="463">
        <v>420</v>
      </c>
      <c r="AL17" s="472" t="s">
        <v>670</v>
      </c>
      <c r="AM17" s="467">
        <v>-999</v>
      </c>
      <c r="AN17" s="478">
        <v>-999</v>
      </c>
      <c r="AO17" s="463">
        <v>360</v>
      </c>
      <c r="AP17" s="472" t="s">
        <v>668</v>
      </c>
      <c r="AQ17" s="462">
        <v>66</v>
      </c>
      <c r="AR17" s="221">
        <f t="shared" si="9"/>
        <v>60.311700000000002</v>
      </c>
    </row>
    <row r="18" spans="1:44" ht="13">
      <c r="A18" s="457">
        <v>510</v>
      </c>
      <c r="B18" s="470" t="s">
        <v>670</v>
      </c>
      <c r="C18" s="458">
        <v>10</v>
      </c>
      <c r="D18" s="539">
        <f t="shared" si="0"/>
        <v>9.9116999999999997</v>
      </c>
      <c r="E18" s="457">
        <v>410</v>
      </c>
      <c r="F18" s="470" t="s">
        <v>671</v>
      </c>
      <c r="G18" s="458">
        <v>22.5</v>
      </c>
      <c r="H18" s="458">
        <f t="shared" ref="H18:H23" si="11">(G18+$H$1)-((G18+$H$1)*$I$1)</f>
        <v>21.1617</v>
      </c>
      <c r="I18" s="457">
        <v>310</v>
      </c>
      <c r="J18" s="470" t="s">
        <v>668</v>
      </c>
      <c r="K18" s="458">
        <v>60</v>
      </c>
      <c r="L18" s="458">
        <f t="shared" si="2"/>
        <v>54.911699999999996</v>
      </c>
      <c r="M18" s="463">
        <v>410</v>
      </c>
      <c r="N18" s="472" t="s">
        <v>668</v>
      </c>
      <c r="O18" s="462">
        <v>59</v>
      </c>
      <c r="P18" s="221">
        <f t="shared" si="3"/>
        <v>54.011699999999998</v>
      </c>
      <c r="Q18" s="463">
        <v>510</v>
      </c>
      <c r="R18" s="472" t="s">
        <v>668</v>
      </c>
      <c r="S18" s="462">
        <v>55</v>
      </c>
      <c r="T18" s="221">
        <f t="shared" si="10"/>
        <v>50.411699999999996</v>
      </c>
      <c r="U18" s="457">
        <v>460</v>
      </c>
      <c r="V18" s="470" t="s">
        <v>673</v>
      </c>
      <c r="W18" s="458">
        <v>132</v>
      </c>
      <c r="X18" s="458">
        <f t="shared" si="4"/>
        <v>119.71170000000001</v>
      </c>
      <c r="Y18" s="457">
        <v>460</v>
      </c>
      <c r="Z18" s="470" t="s">
        <v>673</v>
      </c>
      <c r="AA18" s="458">
        <v>132</v>
      </c>
      <c r="AB18" s="458">
        <f t="shared" si="5"/>
        <v>119.71170000000001</v>
      </c>
      <c r="AC18" s="463">
        <v>430</v>
      </c>
      <c r="AD18" s="472" t="s">
        <v>669</v>
      </c>
      <c r="AE18" s="467">
        <v>-999</v>
      </c>
      <c r="AF18" s="478">
        <v>-999</v>
      </c>
      <c r="AK18" s="463">
        <v>480</v>
      </c>
      <c r="AL18" s="472" t="s">
        <v>668</v>
      </c>
      <c r="AM18" s="462">
        <v>40</v>
      </c>
      <c r="AN18" s="221">
        <f t="shared" ref="AN18" si="12">(AM18+$H$1)-((AM18+$H$1)*$I$1)</f>
        <v>36.911699999999996</v>
      </c>
      <c r="AO18" s="463">
        <v>410</v>
      </c>
      <c r="AP18" s="472" t="s">
        <v>668</v>
      </c>
      <c r="AQ18" s="462">
        <v>59</v>
      </c>
      <c r="AR18" s="221">
        <f t="shared" si="9"/>
        <v>54.011699999999998</v>
      </c>
    </row>
    <row r="19" spans="1:44" ht="13">
      <c r="A19" s="459">
        <v>570</v>
      </c>
      <c r="B19" s="471" t="s">
        <v>670</v>
      </c>
      <c r="C19" s="460">
        <v>7</v>
      </c>
      <c r="D19" s="540">
        <f t="shared" si="0"/>
        <v>7.2116999999999996</v>
      </c>
      <c r="E19" s="457">
        <v>460</v>
      </c>
      <c r="F19" s="470" t="s">
        <v>670</v>
      </c>
      <c r="G19" s="458">
        <v>16</v>
      </c>
      <c r="H19" s="458">
        <f t="shared" si="11"/>
        <v>15.311699999999998</v>
      </c>
      <c r="I19" s="457">
        <v>360</v>
      </c>
      <c r="J19" s="470" t="s">
        <v>668</v>
      </c>
      <c r="K19" s="458">
        <v>43</v>
      </c>
      <c r="L19" s="458">
        <f t="shared" si="2"/>
        <v>39.611699999999999</v>
      </c>
      <c r="M19" s="463">
        <v>460</v>
      </c>
      <c r="N19" s="472" t="s">
        <v>670</v>
      </c>
      <c r="O19" s="462">
        <v>41</v>
      </c>
      <c r="P19" s="221">
        <f t="shared" si="3"/>
        <v>37.811700000000002</v>
      </c>
      <c r="Q19" s="463">
        <v>510</v>
      </c>
      <c r="R19" s="472" t="s">
        <v>673</v>
      </c>
      <c r="S19" s="462">
        <v>63</v>
      </c>
      <c r="T19" s="221">
        <f t="shared" si="10"/>
        <v>57.611700000000006</v>
      </c>
      <c r="U19" s="457">
        <v>510</v>
      </c>
      <c r="V19" s="470" t="s">
        <v>668</v>
      </c>
      <c r="W19" s="458">
        <v>55</v>
      </c>
      <c r="X19" s="458">
        <f t="shared" si="4"/>
        <v>50.411699999999996</v>
      </c>
      <c r="Y19" s="457">
        <v>510</v>
      </c>
      <c r="Z19" s="470" t="s">
        <v>668</v>
      </c>
      <c r="AA19" s="458">
        <v>55</v>
      </c>
      <c r="AB19" s="458">
        <f t="shared" si="5"/>
        <v>50.411699999999996</v>
      </c>
      <c r="AC19" s="463">
        <v>440</v>
      </c>
      <c r="AD19" s="472" t="s">
        <v>669</v>
      </c>
      <c r="AE19" s="467">
        <v>-999</v>
      </c>
      <c r="AF19" s="478">
        <v>-999</v>
      </c>
      <c r="AK19" s="463">
        <v>555</v>
      </c>
      <c r="AL19" s="472" t="s">
        <v>670</v>
      </c>
      <c r="AM19" s="467">
        <v>-999</v>
      </c>
      <c r="AN19" s="478">
        <v>-999</v>
      </c>
      <c r="AO19" s="463">
        <v>460</v>
      </c>
      <c r="AP19" s="472" t="s">
        <v>670</v>
      </c>
      <c r="AQ19" s="462">
        <v>41</v>
      </c>
      <c r="AR19" s="221">
        <f t="shared" si="9"/>
        <v>37.811700000000002</v>
      </c>
    </row>
    <row r="20" spans="1:44" ht="13">
      <c r="E20" s="457">
        <v>510</v>
      </c>
      <c r="F20" s="470" t="s">
        <v>670</v>
      </c>
      <c r="G20" s="458">
        <v>14</v>
      </c>
      <c r="H20" s="458">
        <f t="shared" si="11"/>
        <v>13.511699999999999</v>
      </c>
      <c r="I20" s="457">
        <v>410</v>
      </c>
      <c r="J20" s="470" t="s">
        <v>674</v>
      </c>
      <c r="K20" s="458">
        <v>35.5</v>
      </c>
      <c r="L20" s="458">
        <f t="shared" si="2"/>
        <v>32.861699999999999</v>
      </c>
      <c r="M20" s="463">
        <v>460</v>
      </c>
      <c r="N20" s="472" t="s">
        <v>668</v>
      </c>
      <c r="O20" s="462">
        <v>43.5</v>
      </c>
      <c r="P20" s="221">
        <f t="shared" si="3"/>
        <v>40.061700000000002</v>
      </c>
      <c r="Q20" s="463">
        <v>570</v>
      </c>
      <c r="R20" s="472" t="s">
        <v>668</v>
      </c>
      <c r="S20" s="462">
        <v>46.5</v>
      </c>
      <c r="T20" s="221">
        <f t="shared" si="10"/>
        <v>42.761699999999998</v>
      </c>
      <c r="U20" s="457">
        <v>510</v>
      </c>
      <c r="V20" s="470" t="s">
        <v>675</v>
      </c>
      <c r="W20" s="458">
        <v>100</v>
      </c>
      <c r="X20" s="458">
        <f t="shared" si="4"/>
        <v>90.911699999999996</v>
      </c>
      <c r="Y20" s="457">
        <v>510</v>
      </c>
      <c r="Z20" s="470" t="s">
        <v>675</v>
      </c>
      <c r="AA20" s="458">
        <v>100</v>
      </c>
      <c r="AB20" s="458">
        <f t="shared" si="5"/>
        <v>90.911699999999996</v>
      </c>
      <c r="AC20" s="463">
        <v>450</v>
      </c>
      <c r="AD20" s="472" t="s">
        <v>673</v>
      </c>
      <c r="AE20" s="462">
        <v>173.5</v>
      </c>
      <c r="AF20" s="221">
        <f>(AE20+$H$1)-((AE20+$H$1)*$I$1)</f>
        <v>157.0617</v>
      </c>
      <c r="AK20" s="463">
        <v>645</v>
      </c>
      <c r="AL20" s="472" t="s">
        <v>670</v>
      </c>
      <c r="AM20" s="462">
        <v>16</v>
      </c>
      <c r="AN20" s="221">
        <f t="shared" ref="AN20" si="13">(AM20+$H$1)-((AM20+$H$1)*$I$1)</f>
        <v>15.311699999999998</v>
      </c>
      <c r="AO20" s="463">
        <v>460</v>
      </c>
      <c r="AP20" s="472" t="s">
        <v>668</v>
      </c>
      <c r="AQ20" s="462">
        <v>43.5</v>
      </c>
      <c r="AR20" s="221">
        <f t="shared" si="9"/>
        <v>40.061700000000002</v>
      </c>
    </row>
    <row r="21" spans="1:44" ht="13">
      <c r="E21" s="457">
        <v>570</v>
      </c>
      <c r="F21" s="470" t="s">
        <v>670</v>
      </c>
      <c r="G21" s="458">
        <v>12</v>
      </c>
      <c r="H21" s="458">
        <f t="shared" si="11"/>
        <v>11.7117</v>
      </c>
      <c r="I21" s="457">
        <v>460</v>
      </c>
      <c r="J21" s="470" t="s">
        <v>670</v>
      </c>
      <c r="K21" s="458">
        <v>27</v>
      </c>
      <c r="L21" s="458">
        <f t="shared" si="2"/>
        <v>25.211699999999997</v>
      </c>
      <c r="M21" s="463">
        <v>510</v>
      </c>
      <c r="N21" s="472" t="s">
        <v>668</v>
      </c>
      <c r="O21" s="462">
        <v>43.5</v>
      </c>
      <c r="P21" s="221">
        <f t="shared" si="3"/>
        <v>40.061700000000002</v>
      </c>
      <c r="Q21" s="463">
        <v>570</v>
      </c>
      <c r="R21" s="472" t="s">
        <v>673</v>
      </c>
      <c r="S21" s="462">
        <v>49</v>
      </c>
      <c r="T21" s="221">
        <f t="shared" si="10"/>
        <v>45.011699999999998</v>
      </c>
      <c r="U21" s="457">
        <v>510</v>
      </c>
      <c r="V21" s="470" t="s">
        <v>673</v>
      </c>
      <c r="W21" s="458">
        <v>107.5</v>
      </c>
      <c r="X21" s="458">
        <f t="shared" si="4"/>
        <v>97.661699999999996</v>
      </c>
      <c r="Y21" s="457">
        <v>510</v>
      </c>
      <c r="Z21" s="470" t="s">
        <v>673</v>
      </c>
      <c r="AA21" s="458">
        <v>107.5</v>
      </c>
      <c r="AB21" s="458">
        <f t="shared" si="5"/>
        <v>97.661699999999996</v>
      </c>
      <c r="AC21" s="463">
        <v>460</v>
      </c>
      <c r="AD21" s="472" t="s">
        <v>673</v>
      </c>
      <c r="AE21" s="462">
        <v>166.5</v>
      </c>
      <c r="AF21" s="221">
        <f t="shared" ref="AF21:AF64" si="14">(AE21+$H$1)-((AE21+$H$1)*$I$1)</f>
        <v>150.76170000000002</v>
      </c>
      <c r="AK21" s="464">
        <v>750</v>
      </c>
      <c r="AL21" s="473" t="s">
        <v>670</v>
      </c>
      <c r="AM21" s="480">
        <v>-999</v>
      </c>
      <c r="AN21" s="481">
        <v>-999</v>
      </c>
      <c r="AO21" s="463">
        <v>510</v>
      </c>
      <c r="AP21" s="472" t="s">
        <v>668</v>
      </c>
      <c r="AQ21" s="462">
        <v>43.5</v>
      </c>
      <c r="AR21" s="221">
        <f t="shared" si="9"/>
        <v>40.061700000000002</v>
      </c>
    </row>
    <row r="22" spans="1:44" ht="13">
      <c r="E22" s="457">
        <v>630</v>
      </c>
      <c r="F22" s="470" t="s">
        <v>670</v>
      </c>
      <c r="G22" s="458">
        <v>12</v>
      </c>
      <c r="H22" s="458">
        <f t="shared" si="11"/>
        <v>11.7117</v>
      </c>
      <c r="I22" s="457">
        <v>510</v>
      </c>
      <c r="J22" s="470" t="s">
        <v>670</v>
      </c>
      <c r="K22" s="458">
        <v>21.5</v>
      </c>
      <c r="L22" s="458">
        <f t="shared" si="2"/>
        <v>20.261699999999998</v>
      </c>
      <c r="M22" s="463">
        <v>570</v>
      </c>
      <c r="N22" s="472" t="s">
        <v>668</v>
      </c>
      <c r="O22" s="462">
        <v>27</v>
      </c>
      <c r="P22" s="221">
        <f t="shared" si="3"/>
        <v>25.211699999999997</v>
      </c>
      <c r="Q22" s="463">
        <v>630</v>
      </c>
      <c r="R22" s="472" t="s">
        <v>668</v>
      </c>
      <c r="S22" s="462">
        <v>36</v>
      </c>
      <c r="T22" s="221">
        <f t="shared" si="10"/>
        <v>33.311700000000002</v>
      </c>
      <c r="U22" s="457">
        <v>570</v>
      </c>
      <c r="V22" s="470" t="s">
        <v>668</v>
      </c>
      <c r="W22" s="458">
        <v>44</v>
      </c>
      <c r="X22" s="458">
        <f t="shared" si="4"/>
        <v>40.511699999999998</v>
      </c>
      <c r="Y22" s="457">
        <v>570</v>
      </c>
      <c r="Z22" s="470" t="s">
        <v>668</v>
      </c>
      <c r="AA22" s="458">
        <v>44</v>
      </c>
      <c r="AB22" s="458">
        <f t="shared" si="5"/>
        <v>40.511699999999998</v>
      </c>
      <c r="AC22" s="463">
        <v>470</v>
      </c>
      <c r="AD22" s="472" t="s">
        <v>673</v>
      </c>
      <c r="AE22" s="462">
        <v>160.5</v>
      </c>
      <c r="AF22" s="221">
        <f t="shared" si="14"/>
        <v>145.36170000000001</v>
      </c>
      <c r="AO22" s="463">
        <v>570</v>
      </c>
      <c r="AP22" s="472" t="s">
        <v>668</v>
      </c>
      <c r="AQ22" s="462">
        <v>27</v>
      </c>
      <c r="AR22" s="221">
        <f t="shared" si="9"/>
        <v>25.211699999999997</v>
      </c>
    </row>
    <row r="23" spans="1:44" ht="13">
      <c r="E23" s="459">
        <v>690</v>
      </c>
      <c r="F23" s="471" t="s">
        <v>670</v>
      </c>
      <c r="G23" s="460">
        <v>10</v>
      </c>
      <c r="H23" s="460">
        <f t="shared" si="11"/>
        <v>9.9116999999999997</v>
      </c>
      <c r="I23" s="457">
        <v>570</v>
      </c>
      <c r="J23" s="470" t="s">
        <v>670</v>
      </c>
      <c r="K23" s="458">
        <v>17.75</v>
      </c>
      <c r="L23" s="458">
        <f t="shared" si="2"/>
        <v>16.886699999999998</v>
      </c>
      <c r="M23" s="463">
        <v>570</v>
      </c>
      <c r="N23" s="472" t="s">
        <v>668</v>
      </c>
      <c r="O23" s="462">
        <v>34</v>
      </c>
      <c r="P23" s="221">
        <f t="shared" si="3"/>
        <v>31.511699999999998</v>
      </c>
      <c r="Q23" s="463">
        <v>630</v>
      </c>
      <c r="R23" s="472" t="s">
        <v>673</v>
      </c>
      <c r="S23" s="462">
        <v>40</v>
      </c>
      <c r="T23" s="221">
        <f t="shared" si="10"/>
        <v>36.911699999999996</v>
      </c>
      <c r="U23" s="457">
        <v>570</v>
      </c>
      <c r="V23" s="470" t="s">
        <v>675</v>
      </c>
      <c r="W23" s="458">
        <v>46.5</v>
      </c>
      <c r="X23" s="458">
        <f t="shared" si="4"/>
        <v>42.761699999999998</v>
      </c>
      <c r="Y23" s="457">
        <v>570</v>
      </c>
      <c r="Z23" s="470" t="s">
        <v>675</v>
      </c>
      <c r="AA23" s="458">
        <v>46.5</v>
      </c>
      <c r="AB23" s="458">
        <f t="shared" si="5"/>
        <v>42.761699999999998</v>
      </c>
      <c r="AC23" s="463">
        <v>480</v>
      </c>
      <c r="AD23" s="472" t="s">
        <v>673</v>
      </c>
      <c r="AE23" s="462">
        <v>154.5</v>
      </c>
      <c r="AF23" s="221">
        <f t="shared" si="14"/>
        <v>139.96170000000001</v>
      </c>
      <c r="AO23" s="463">
        <v>570</v>
      </c>
      <c r="AP23" s="472" t="s">
        <v>668</v>
      </c>
      <c r="AQ23" s="462">
        <v>34</v>
      </c>
      <c r="AR23" s="221">
        <f t="shared" si="9"/>
        <v>31.511699999999998</v>
      </c>
    </row>
    <row r="24" spans="1:44" ht="13">
      <c r="I24" s="457">
        <v>630</v>
      </c>
      <c r="J24" s="470" t="s">
        <v>670</v>
      </c>
      <c r="K24" s="458">
        <v>14.5</v>
      </c>
      <c r="L24" s="458">
        <f t="shared" si="2"/>
        <v>13.9617</v>
      </c>
      <c r="M24" s="463">
        <v>630</v>
      </c>
      <c r="N24" s="472" t="s">
        <v>668</v>
      </c>
      <c r="O24" s="462">
        <v>25</v>
      </c>
      <c r="P24" s="221">
        <f t="shared" si="3"/>
        <v>23.411699999999996</v>
      </c>
      <c r="Q24" s="463">
        <v>690</v>
      </c>
      <c r="R24" s="472" t="s">
        <v>668</v>
      </c>
      <c r="S24" s="462">
        <v>28</v>
      </c>
      <c r="T24" s="221">
        <f t="shared" si="10"/>
        <v>26.111699999999999</v>
      </c>
      <c r="U24" s="457">
        <v>570</v>
      </c>
      <c r="V24" s="470" t="s">
        <v>673</v>
      </c>
      <c r="W24" s="458">
        <v>88</v>
      </c>
      <c r="X24" s="458">
        <f t="shared" si="4"/>
        <v>80.111699999999999</v>
      </c>
      <c r="Y24" s="457">
        <v>570</v>
      </c>
      <c r="Z24" s="470" t="s">
        <v>673</v>
      </c>
      <c r="AA24" s="458">
        <v>88</v>
      </c>
      <c r="AB24" s="458">
        <f t="shared" si="5"/>
        <v>80.111699999999999</v>
      </c>
      <c r="AC24" s="463">
        <v>490</v>
      </c>
      <c r="AD24" s="472" t="s">
        <v>673</v>
      </c>
      <c r="AE24" s="462">
        <v>148.5</v>
      </c>
      <c r="AF24" s="221">
        <f t="shared" si="14"/>
        <v>134.5617</v>
      </c>
      <c r="AO24" s="463">
        <v>630</v>
      </c>
      <c r="AP24" s="472" t="s">
        <v>668</v>
      </c>
      <c r="AQ24" s="462">
        <v>25</v>
      </c>
      <c r="AR24" s="221">
        <f t="shared" si="9"/>
        <v>23.411699999999996</v>
      </c>
    </row>
    <row r="25" spans="1:44" ht="13">
      <c r="I25" s="457">
        <v>690</v>
      </c>
      <c r="J25" s="470" t="s">
        <v>670</v>
      </c>
      <c r="K25" s="458">
        <v>12.5</v>
      </c>
      <c r="L25" s="458">
        <f t="shared" si="2"/>
        <v>12.1617</v>
      </c>
      <c r="M25" s="463">
        <v>690</v>
      </c>
      <c r="N25" s="472" t="s">
        <v>668</v>
      </c>
      <c r="O25" s="462">
        <v>24</v>
      </c>
      <c r="P25" s="221">
        <f t="shared" si="3"/>
        <v>22.511699999999998</v>
      </c>
      <c r="Q25" s="463">
        <v>690</v>
      </c>
      <c r="R25" s="472" t="s">
        <v>673</v>
      </c>
      <c r="S25" s="462">
        <v>32</v>
      </c>
      <c r="T25" s="221">
        <f t="shared" si="10"/>
        <v>29.711699999999997</v>
      </c>
      <c r="U25" s="457">
        <v>630</v>
      </c>
      <c r="V25" s="470" t="s">
        <v>675</v>
      </c>
      <c r="W25" s="458">
        <v>65</v>
      </c>
      <c r="X25" s="458">
        <f t="shared" si="4"/>
        <v>59.411700000000003</v>
      </c>
      <c r="Y25" s="457">
        <v>630</v>
      </c>
      <c r="Z25" s="470" t="s">
        <v>675</v>
      </c>
      <c r="AA25" s="458">
        <v>65</v>
      </c>
      <c r="AB25" s="458">
        <f t="shared" si="5"/>
        <v>59.411700000000003</v>
      </c>
      <c r="AC25" s="463">
        <v>500</v>
      </c>
      <c r="AD25" s="472" t="s">
        <v>673</v>
      </c>
      <c r="AE25" s="462">
        <v>143.5</v>
      </c>
      <c r="AF25" s="221">
        <f t="shared" si="14"/>
        <v>130.0617</v>
      </c>
      <c r="AO25" s="463">
        <v>690</v>
      </c>
      <c r="AP25" s="472" t="s">
        <v>668</v>
      </c>
      <c r="AQ25" s="462">
        <v>24</v>
      </c>
      <c r="AR25" s="221">
        <f t="shared" si="9"/>
        <v>22.511699999999998</v>
      </c>
    </row>
    <row r="26" spans="1:44" ht="13">
      <c r="I26" s="457">
        <v>770</v>
      </c>
      <c r="J26" s="470" t="s">
        <v>670</v>
      </c>
      <c r="K26" s="458">
        <v>11</v>
      </c>
      <c r="L26" s="458">
        <f t="shared" si="2"/>
        <v>10.8117</v>
      </c>
      <c r="M26" s="463">
        <v>770</v>
      </c>
      <c r="N26" s="472" t="s">
        <v>668</v>
      </c>
      <c r="O26" s="462">
        <v>18</v>
      </c>
      <c r="P26" s="221">
        <f t="shared" si="3"/>
        <v>17.111699999999999</v>
      </c>
      <c r="Q26" s="463">
        <v>770</v>
      </c>
      <c r="R26" s="472" t="s">
        <v>668</v>
      </c>
      <c r="S26" s="462">
        <v>24</v>
      </c>
      <c r="T26" s="221">
        <f t="shared" si="10"/>
        <v>22.511699999999998</v>
      </c>
      <c r="U26" s="457">
        <v>630</v>
      </c>
      <c r="V26" s="470" t="s">
        <v>668</v>
      </c>
      <c r="W26" s="458">
        <v>66</v>
      </c>
      <c r="X26" s="458">
        <f t="shared" si="4"/>
        <v>60.311700000000002</v>
      </c>
      <c r="Y26" s="457">
        <v>630</v>
      </c>
      <c r="Z26" s="470" t="s">
        <v>668</v>
      </c>
      <c r="AA26" s="458">
        <v>66</v>
      </c>
      <c r="AB26" s="458">
        <f t="shared" si="5"/>
        <v>60.311700000000002</v>
      </c>
      <c r="AC26" s="463">
        <v>510</v>
      </c>
      <c r="AD26" s="472" t="s">
        <v>673</v>
      </c>
      <c r="AE26" s="462">
        <v>138.5</v>
      </c>
      <c r="AF26" s="221">
        <f t="shared" si="14"/>
        <v>125.5617</v>
      </c>
      <c r="AO26" s="463">
        <v>770</v>
      </c>
      <c r="AP26" s="472" t="s">
        <v>668</v>
      </c>
      <c r="AQ26" s="462">
        <v>18</v>
      </c>
      <c r="AR26" s="221">
        <f t="shared" si="9"/>
        <v>17.111699999999999</v>
      </c>
    </row>
    <row r="27" spans="1:44" ht="13">
      <c r="I27" s="459">
        <v>850</v>
      </c>
      <c r="J27" s="471" t="s">
        <v>670</v>
      </c>
      <c r="K27" s="460">
        <v>9</v>
      </c>
      <c r="L27" s="460">
        <f t="shared" si="2"/>
        <v>9.0116999999999994</v>
      </c>
      <c r="M27" s="463">
        <v>850</v>
      </c>
      <c r="N27" s="472" t="s">
        <v>668</v>
      </c>
      <c r="O27" s="462">
        <v>13.5</v>
      </c>
      <c r="P27" s="221">
        <f t="shared" si="3"/>
        <v>13.0617</v>
      </c>
      <c r="Q27" s="463">
        <v>850</v>
      </c>
      <c r="R27" s="472" t="s">
        <v>668</v>
      </c>
      <c r="S27" s="462">
        <v>22</v>
      </c>
      <c r="T27" s="221">
        <f t="shared" si="10"/>
        <v>20.711699999999997</v>
      </c>
      <c r="U27" s="457">
        <v>630</v>
      </c>
      <c r="V27" s="470" t="s">
        <v>673</v>
      </c>
      <c r="W27" s="458">
        <v>73</v>
      </c>
      <c r="X27" s="458">
        <f t="shared" si="4"/>
        <v>66.611699999999999</v>
      </c>
      <c r="Y27" s="457">
        <v>630</v>
      </c>
      <c r="Z27" s="470" t="s">
        <v>673</v>
      </c>
      <c r="AA27" s="458">
        <v>73</v>
      </c>
      <c r="AB27" s="458">
        <f t="shared" si="5"/>
        <v>66.611699999999999</v>
      </c>
      <c r="AC27" s="463">
        <v>525</v>
      </c>
      <c r="AD27" s="472" t="s">
        <v>673</v>
      </c>
      <c r="AE27" s="462">
        <v>131</v>
      </c>
      <c r="AF27" s="221">
        <f t="shared" si="14"/>
        <v>118.8117</v>
      </c>
      <c r="AO27" s="463">
        <v>850</v>
      </c>
      <c r="AP27" s="472" t="s">
        <v>668</v>
      </c>
      <c r="AQ27" s="462">
        <v>13.5</v>
      </c>
      <c r="AR27" s="221">
        <f t="shared" si="9"/>
        <v>13.0617</v>
      </c>
    </row>
    <row r="28" spans="1:44" ht="13">
      <c r="M28" s="463">
        <v>950</v>
      </c>
      <c r="N28" s="472" t="s">
        <v>668</v>
      </c>
      <c r="O28" s="462">
        <v>13</v>
      </c>
      <c r="P28" s="221">
        <f t="shared" si="3"/>
        <v>12.611699999999999</v>
      </c>
      <c r="Q28" s="463">
        <v>950</v>
      </c>
      <c r="R28" s="472" t="s">
        <v>668</v>
      </c>
      <c r="S28" s="462">
        <v>18</v>
      </c>
      <c r="T28" s="221">
        <f t="shared" si="10"/>
        <v>17.111699999999999</v>
      </c>
      <c r="U28" s="457">
        <v>690</v>
      </c>
      <c r="V28" s="474" t="s">
        <v>676</v>
      </c>
      <c r="W28" s="458">
        <v>55</v>
      </c>
      <c r="X28" s="458">
        <f t="shared" si="4"/>
        <v>50.411699999999996</v>
      </c>
      <c r="Y28" s="457">
        <v>690</v>
      </c>
      <c r="Z28" s="474" t="s">
        <v>676</v>
      </c>
      <c r="AA28" s="458">
        <v>55</v>
      </c>
      <c r="AB28" s="458">
        <f t="shared" si="5"/>
        <v>50.411699999999996</v>
      </c>
      <c r="AC28" s="463">
        <v>540</v>
      </c>
      <c r="AD28" s="472" t="s">
        <v>673</v>
      </c>
      <c r="AE28" s="462">
        <v>124.5</v>
      </c>
      <c r="AF28" s="221">
        <f t="shared" si="14"/>
        <v>112.96170000000001</v>
      </c>
      <c r="AO28" s="463">
        <v>950</v>
      </c>
      <c r="AP28" s="472" t="s">
        <v>668</v>
      </c>
      <c r="AQ28" s="462">
        <v>13</v>
      </c>
      <c r="AR28" s="221">
        <f t="shared" si="9"/>
        <v>12.611699999999999</v>
      </c>
    </row>
    <row r="29" spans="1:44" ht="13">
      <c r="M29" s="464">
        <v>1050</v>
      </c>
      <c r="N29" s="473" t="s">
        <v>668</v>
      </c>
      <c r="O29" s="465">
        <v>10</v>
      </c>
      <c r="P29" s="461">
        <f t="shared" si="3"/>
        <v>9.9116999999999997</v>
      </c>
      <c r="Q29" s="463">
        <v>1050</v>
      </c>
      <c r="R29" s="472" t="s">
        <v>668</v>
      </c>
      <c r="S29" s="462">
        <v>14</v>
      </c>
      <c r="T29" s="221">
        <f t="shared" si="10"/>
        <v>13.511699999999999</v>
      </c>
      <c r="U29" s="457">
        <v>690</v>
      </c>
      <c r="V29" s="470" t="s">
        <v>673</v>
      </c>
      <c r="W29" s="458">
        <v>56</v>
      </c>
      <c r="X29" s="458">
        <f t="shared" si="4"/>
        <v>51.311700000000002</v>
      </c>
      <c r="Y29" s="457">
        <v>690</v>
      </c>
      <c r="Z29" s="470" t="s">
        <v>673</v>
      </c>
      <c r="AA29" s="458">
        <v>56</v>
      </c>
      <c r="AB29" s="458">
        <f t="shared" si="5"/>
        <v>51.311700000000002</v>
      </c>
      <c r="AC29" s="463">
        <v>555</v>
      </c>
      <c r="AD29" s="472" t="s">
        <v>673</v>
      </c>
      <c r="AE29" s="462">
        <v>118.5</v>
      </c>
      <c r="AF29" s="221">
        <f t="shared" si="14"/>
        <v>107.5617</v>
      </c>
      <c r="AO29" s="464">
        <v>1050</v>
      </c>
      <c r="AP29" s="473" t="s">
        <v>668</v>
      </c>
      <c r="AQ29" s="465">
        <v>10</v>
      </c>
      <c r="AR29" s="461">
        <f t="shared" si="9"/>
        <v>9.9116999999999997</v>
      </c>
    </row>
    <row r="30" spans="1:44" ht="13">
      <c r="M30" s="211"/>
      <c r="N30" s="211"/>
      <c r="Q30" s="464">
        <v>1250</v>
      </c>
      <c r="R30" s="473" t="s">
        <v>668</v>
      </c>
      <c r="S30" s="465">
        <v>9.75</v>
      </c>
      <c r="T30" s="461">
        <f t="shared" si="10"/>
        <v>9.6867000000000001</v>
      </c>
      <c r="U30" s="457">
        <v>690</v>
      </c>
      <c r="V30" s="470" t="s">
        <v>675</v>
      </c>
      <c r="W30" s="458">
        <v>62</v>
      </c>
      <c r="X30" s="458">
        <f t="shared" si="4"/>
        <v>56.7117</v>
      </c>
      <c r="Y30" s="457">
        <v>690</v>
      </c>
      <c r="Z30" s="470" t="s">
        <v>675</v>
      </c>
      <c r="AA30" s="458">
        <v>62</v>
      </c>
      <c r="AB30" s="458">
        <f t="shared" si="5"/>
        <v>56.7117</v>
      </c>
      <c r="AC30" s="463">
        <v>570</v>
      </c>
      <c r="AD30" s="472" t="s">
        <v>673</v>
      </c>
      <c r="AE30" s="462">
        <v>113</v>
      </c>
      <c r="AF30" s="221">
        <f t="shared" si="14"/>
        <v>102.6117</v>
      </c>
    </row>
    <row r="31" spans="1:44" ht="13">
      <c r="U31" s="457">
        <v>710</v>
      </c>
      <c r="V31" s="470" t="s">
        <v>675</v>
      </c>
      <c r="W31" s="458">
        <v>56</v>
      </c>
      <c r="X31" s="458">
        <f t="shared" si="4"/>
        <v>51.311700000000002</v>
      </c>
      <c r="Y31" s="457">
        <v>710</v>
      </c>
      <c r="Z31" s="470" t="s">
        <v>675</v>
      </c>
      <c r="AA31" s="458">
        <v>56</v>
      </c>
      <c r="AB31" s="458">
        <f t="shared" si="5"/>
        <v>51.311700000000002</v>
      </c>
      <c r="AC31" s="463">
        <v>585</v>
      </c>
      <c r="AD31" s="472" t="s">
        <v>673</v>
      </c>
      <c r="AE31" s="462">
        <v>107.5</v>
      </c>
      <c r="AF31" s="221">
        <f t="shared" si="14"/>
        <v>97.661699999999996</v>
      </c>
    </row>
    <row r="32" spans="1:44" ht="13">
      <c r="S32" s="462"/>
      <c r="U32" s="457">
        <v>770</v>
      </c>
      <c r="V32" s="470" t="s">
        <v>668</v>
      </c>
      <c r="W32" s="458">
        <v>44</v>
      </c>
      <c r="X32" s="458">
        <f t="shared" si="4"/>
        <v>40.511699999999998</v>
      </c>
      <c r="Y32" s="457">
        <v>770</v>
      </c>
      <c r="Z32" s="470" t="s">
        <v>668</v>
      </c>
      <c r="AA32" s="458">
        <v>44</v>
      </c>
      <c r="AB32" s="458">
        <f t="shared" si="5"/>
        <v>40.511699999999998</v>
      </c>
      <c r="AC32" s="463">
        <v>600</v>
      </c>
      <c r="AD32" s="472" t="s">
        <v>673</v>
      </c>
      <c r="AE32" s="462">
        <v>105</v>
      </c>
      <c r="AF32" s="221">
        <f t="shared" si="14"/>
        <v>95.411699999999996</v>
      </c>
    </row>
    <row r="33" spans="19:32" ht="13">
      <c r="S33" s="462"/>
      <c r="U33" s="457">
        <v>850</v>
      </c>
      <c r="V33" s="470" t="s">
        <v>668</v>
      </c>
      <c r="W33" s="458">
        <v>38.5</v>
      </c>
      <c r="X33" s="458">
        <f t="shared" si="4"/>
        <v>35.561700000000002</v>
      </c>
      <c r="Y33" s="457">
        <v>850</v>
      </c>
      <c r="Z33" s="470" t="s">
        <v>668</v>
      </c>
      <c r="AA33" s="458">
        <v>38.5</v>
      </c>
      <c r="AB33" s="458">
        <f t="shared" si="5"/>
        <v>35.561700000000002</v>
      </c>
      <c r="AC33" s="463">
        <v>615</v>
      </c>
      <c r="AD33" s="470" t="s">
        <v>675</v>
      </c>
      <c r="AE33" s="458">
        <v>100</v>
      </c>
      <c r="AF33" s="221">
        <f t="shared" si="14"/>
        <v>90.911699999999996</v>
      </c>
    </row>
    <row r="34" spans="19:32" ht="13">
      <c r="U34" s="457">
        <v>850</v>
      </c>
      <c r="V34" s="470" t="s">
        <v>675</v>
      </c>
      <c r="W34" s="458">
        <v>39</v>
      </c>
      <c r="X34" s="458">
        <f t="shared" si="4"/>
        <v>36.011699999999998</v>
      </c>
      <c r="Y34" s="457">
        <v>850</v>
      </c>
      <c r="Z34" s="470" t="s">
        <v>675</v>
      </c>
      <c r="AA34" s="458">
        <v>39</v>
      </c>
      <c r="AB34" s="458">
        <f t="shared" si="5"/>
        <v>36.011699999999998</v>
      </c>
      <c r="AC34" s="463">
        <v>630</v>
      </c>
      <c r="AD34" s="470" t="s">
        <v>675</v>
      </c>
      <c r="AE34" s="458">
        <v>93.5</v>
      </c>
      <c r="AF34" s="221">
        <f t="shared" si="14"/>
        <v>85.061700000000002</v>
      </c>
    </row>
    <row r="35" spans="19:32" ht="13">
      <c r="U35" s="457">
        <v>950</v>
      </c>
      <c r="V35" s="470" t="s">
        <v>668</v>
      </c>
      <c r="W35" s="458">
        <v>27.5</v>
      </c>
      <c r="X35" s="458">
        <f t="shared" si="4"/>
        <v>25.661699999999996</v>
      </c>
      <c r="Y35" s="457">
        <v>950</v>
      </c>
      <c r="Z35" s="470" t="s">
        <v>668</v>
      </c>
      <c r="AA35" s="458">
        <v>27.5</v>
      </c>
      <c r="AB35" s="458">
        <f t="shared" si="5"/>
        <v>25.661699999999996</v>
      </c>
      <c r="AC35" s="463">
        <v>645</v>
      </c>
      <c r="AD35" s="470" t="s">
        <v>675</v>
      </c>
      <c r="AE35" s="458">
        <v>89.5</v>
      </c>
      <c r="AF35" s="221">
        <f t="shared" si="14"/>
        <v>81.461700000000008</v>
      </c>
    </row>
    <row r="36" spans="19:32" ht="13">
      <c r="U36" s="457">
        <v>950</v>
      </c>
      <c r="V36" s="470" t="s">
        <v>675</v>
      </c>
      <c r="W36" s="458">
        <v>28.5</v>
      </c>
      <c r="X36" s="458">
        <f t="shared" si="4"/>
        <v>26.561699999999998</v>
      </c>
      <c r="Y36" s="457">
        <v>950</v>
      </c>
      <c r="Z36" s="470" t="s">
        <v>675</v>
      </c>
      <c r="AA36" s="458">
        <v>28.5</v>
      </c>
      <c r="AB36" s="458">
        <f t="shared" si="5"/>
        <v>26.561699999999998</v>
      </c>
      <c r="AC36" s="463">
        <v>660</v>
      </c>
      <c r="AD36" s="470" t="s">
        <v>675</v>
      </c>
      <c r="AE36" s="458">
        <v>85.5</v>
      </c>
      <c r="AF36" s="221">
        <f t="shared" si="14"/>
        <v>77.861699999999999</v>
      </c>
    </row>
    <row r="37" spans="19:32" ht="13">
      <c r="U37" s="457">
        <v>1050</v>
      </c>
      <c r="V37" s="470" t="s">
        <v>675</v>
      </c>
      <c r="W37" s="458">
        <v>20.9</v>
      </c>
      <c r="X37" s="458">
        <f t="shared" si="4"/>
        <v>19.721699999999998</v>
      </c>
      <c r="Y37" s="457">
        <v>1050</v>
      </c>
      <c r="Z37" s="470" t="s">
        <v>675</v>
      </c>
      <c r="AA37" s="458">
        <v>20.9</v>
      </c>
      <c r="AB37" s="458">
        <f t="shared" si="5"/>
        <v>19.721699999999998</v>
      </c>
      <c r="AC37" s="463">
        <v>675</v>
      </c>
      <c r="AD37" s="470" t="s">
        <v>675</v>
      </c>
      <c r="AE37" s="458">
        <v>82</v>
      </c>
      <c r="AF37" s="221">
        <f t="shared" si="14"/>
        <v>74.711700000000008</v>
      </c>
    </row>
    <row r="38" spans="19:32" ht="13">
      <c r="U38" s="457">
        <v>1050</v>
      </c>
      <c r="V38" s="470" t="s">
        <v>668</v>
      </c>
      <c r="W38" s="458">
        <v>21.5</v>
      </c>
      <c r="X38" s="458">
        <f t="shared" si="4"/>
        <v>20.261699999999998</v>
      </c>
      <c r="Y38" s="457">
        <v>1050</v>
      </c>
      <c r="Z38" s="470" t="s">
        <v>668</v>
      </c>
      <c r="AA38" s="458">
        <v>21.5</v>
      </c>
      <c r="AB38" s="458">
        <f t="shared" si="5"/>
        <v>20.261699999999998</v>
      </c>
      <c r="AC38" s="463">
        <v>690</v>
      </c>
      <c r="AD38" s="470" t="s">
        <v>675</v>
      </c>
      <c r="AE38" s="458">
        <v>79</v>
      </c>
      <c r="AF38" s="221">
        <f t="shared" si="14"/>
        <v>72.011700000000005</v>
      </c>
    </row>
    <row r="39" spans="19:32" ht="13">
      <c r="U39" s="457">
        <v>1150</v>
      </c>
      <c r="V39" s="470" t="s">
        <v>668</v>
      </c>
      <c r="W39" s="467">
        <v>-999</v>
      </c>
      <c r="X39" s="467">
        <v>-999</v>
      </c>
      <c r="Y39" s="457">
        <v>1150</v>
      </c>
      <c r="Z39" s="470" t="s">
        <v>668</v>
      </c>
      <c r="AA39" s="467">
        <v>-999</v>
      </c>
      <c r="AB39" s="467">
        <v>-999</v>
      </c>
      <c r="AC39" s="463">
        <v>710</v>
      </c>
      <c r="AD39" s="470" t="s">
        <v>675</v>
      </c>
      <c r="AE39" s="458">
        <v>74.5</v>
      </c>
      <c r="AF39" s="221">
        <f t="shared" si="14"/>
        <v>67.961700000000008</v>
      </c>
    </row>
    <row r="40" spans="19:32" ht="13">
      <c r="U40" s="459">
        <v>1250</v>
      </c>
      <c r="V40" s="471" t="s">
        <v>668</v>
      </c>
      <c r="W40" s="460">
        <v>13.5</v>
      </c>
      <c r="X40" s="460">
        <f t="shared" ref="X40" si="15">(W40+$H$1)-((W40+$H$1)*$I$1)</f>
        <v>13.0617</v>
      </c>
      <c r="Y40" s="459">
        <v>1250</v>
      </c>
      <c r="Z40" s="471" t="s">
        <v>668</v>
      </c>
      <c r="AA40" s="460">
        <v>13.5</v>
      </c>
      <c r="AB40" s="460">
        <f t="shared" si="5"/>
        <v>13.0617</v>
      </c>
      <c r="AC40" s="463">
        <v>730</v>
      </c>
      <c r="AD40" s="470" t="s">
        <v>675</v>
      </c>
      <c r="AE40" s="458">
        <v>71</v>
      </c>
      <c r="AF40" s="221">
        <f t="shared" si="14"/>
        <v>64.811700000000002</v>
      </c>
    </row>
    <row r="41" spans="19:32" ht="13">
      <c r="AC41" s="463">
        <v>750</v>
      </c>
      <c r="AD41" s="470" t="s">
        <v>675</v>
      </c>
      <c r="AE41" s="458">
        <v>67</v>
      </c>
      <c r="AF41" s="221">
        <f t="shared" si="14"/>
        <v>61.211700000000008</v>
      </c>
    </row>
    <row r="42" spans="19:32" ht="13">
      <c r="AC42" s="463">
        <v>770</v>
      </c>
      <c r="AD42" s="470" t="s">
        <v>675</v>
      </c>
      <c r="AE42" s="458">
        <v>64</v>
      </c>
      <c r="AF42" s="221">
        <f t="shared" si="14"/>
        <v>58.511700000000005</v>
      </c>
    </row>
    <row r="43" spans="19:32" ht="13">
      <c r="AC43" s="463">
        <v>790</v>
      </c>
      <c r="AD43" s="470" t="s">
        <v>675</v>
      </c>
      <c r="AE43" s="458">
        <v>61</v>
      </c>
      <c r="AF43" s="221">
        <f t="shared" si="14"/>
        <v>55.811700000000002</v>
      </c>
    </row>
    <row r="44" spans="19:32" ht="13">
      <c r="AC44" s="463">
        <v>810</v>
      </c>
      <c r="AD44" s="470" t="s">
        <v>675</v>
      </c>
      <c r="AE44" s="458">
        <v>58</v>
      </c>
      <c r="AF44" s="221">
        <f t="shared" si="14"/>
        <v>53.111699999999999</v>
      </c>
    </row>
    <row r="45" spans="19:32" ht="13">
      <c r="AC45" s="463">
        <v>830</v>
      </c>
      <c r="AD45" s="470" t="s">
        <v>675</v>
      </c>
      <c r="AE45" s="458">
        <v>55.5</v>
      </c>
      <c r="AF45" s="221">
        <f t="shared" si="14"/>
        <v>50.861699999999999</v>
      </c>
    </row>
    <row r="46" spans="19:32" ht="13">
      <c r="AC46" s="463">
        <v>850</v>
      </c>
      <c r="AD46" s="470" t="s">
        <v>675</v>
      </c>
      <c r="AE46" s="458">
        <v>53</v>
      </c>
      <c r="AF46" s="221">
        <f t="shared" si="14"/>
        <v>48.611699999999999</v>
      </c>
    </row>
    <row r="47" spans="19:32" ht="13">
      <c r="AC47" s="463">
        <v>875</v>
      </c>
      <c r="AD47" s="470" t="s">
        <v>675</v>
      </c>
      <c r="AE47" s="458">
        <v>50</v>
      </c>
      <c r="AF47" s="221">
        <f t="shared" si="14"/>
        <v>45.911699999999996</v>
      </c>
    </row>
    <row r="48" spans="19:32" ht="13">
      <c r="AC48" s="463">
        <v>900</v>
      </c>
      <c r="AD48" s="470" t="s">
        <v>675</v>
      </c>
      <c r="AE48" s="458">
        <v>47.5</v>
      </c>
      <c r="AF48" s="221">
        <f t="shared" si="14"/>
        <v>43.661699999999996</v>
      </c>
    </row>
    <row r="49" spans="29:32" ht="13">
      <c r="AC49" s="463">
        <v>925</v>
      </c>
      <c r="AD49" s="470" t="s">
        <v>675</v>
      </c>
      <c r="AE49" s="458">
        <v>45</v>
      </c>
      <c r="AF49" s="221">
        <f t="shared" si="14"/>
        <v>41.411699999999996</v>
      </c>
    </row>
    <row r="50" spans="29:32" ht="13">
      <c r="AC50" s="463">
        <v>950</v>
      </c>
      <c r="AD50" s="470" t="s">
        <v>675</v>
      </c>
      <c r="AE50" s="458">
        <v>42.5</v>
      </c>
      <c r="AF50" s="221">
        <f t="shared" si="14"/>
        <v>39.161699999999996</v>
      </c>
    </row>
    <row r="51" spans="29:32" ht="13">
      <c r="AC51" s="463">
        <v>975</v>
      </c>
      <c r="AD51" s="470" t="s">
        <v>675</v>
      </c>
      <c r="AE51" s="458">
        <v>40.5</v>
      </c>
      <c r="AF51" s="221">
        <f t="shared" si="14"/>
        <v>37.361699999999999</v>
      </c>
    </row>
    <row r="52" spans="29:32" ht="13">
      <c r="AC52" s="463">
        <v>1000</v>
      </c>
      <c r="AD52" s="470" t="s">
        <v>675</v>
      </c>
      <c r="AE52" s="458">
        <v>38.5</v>
      </c>
      <c r="AF52" s="221">
        <f t="shared" si="14"/>
        <v>35.561700000000002</v>
      </c>
    </row>
    <row r="53" spans="29:32" ht="13">
      <c r="AC53" s="463">
        <v>1025</v>
      </c>
      <c r="AD53" s="470" t="s">
        <v>675</v>
      </c>
      <c r="AE53" s="458">
        <v>36.5</v>
      </c>
      <c r="AF53" s="221">
        <f t="shared" si="14"/>
        <v>33.761699999999998</v>
      </c>
    </row>
    <row r="54" spans="29:32" ht="13">
      <c r="AC54" s="463">
        <v>1050</v>
      </c>
      <c r="AD54" s="470" t="s">
        <v>675</v>
      </c>
      <c r="AE54" s="458">
        <v>35</v>
      </c>
      <c r="AF54" s="221">
        <f t="shared" si="14"/>
        <v>32.411699999999996</v>
      </c>
    </row>
    <row r="55" spans="29:32" ht="13">
      <c r="AC55" s="463">
        <v>1075</v>
      </c>
      <c r="AD55" s="470" t="s">
        <v>675</v>
      </c>
      <c r="AE55" s="458">
        <v>33.5</v>
      </c>
      <c r="AF55" s="221">
        <f t="shared" si="14"/>
        <v>31.061699999999998</v>
      </c>
    </row>
    <row r="56" spans="29:32" ht="13">
      <c r="AC56" s="463">
        <v>1100</v>
      </c>
      <c r="AD56" s="470" t="s">
        <v>675</v>
      </c>
      <c r="AE56" s="458">
        <v>32</v>
      </c>
      <c r="AF56" s="221">
        <f t="shared" si="14"/>
        <v>29.711699999999997</v>
      </c>
    </row>
    <row r="57" spans="29:32" ht="13">
      <c r="AC57" s="463">
        <v>1125</v>
      </c>
      <c r="AD57" s="470" t="s">
        <v>675</v>
      </c>
      <c r="AE57" s="458">
        <v>30.5</v>
      </c>
      <c r="AF57" s="221">
        <f t="shared" si="14"/>
        <v>28.361699999999999</v>
      </c>
    </row>
    <row r="58" spans="29:32" ht="13">
      <c r="AC58" s="463">
        <v>1150</v>
      </c>
      <c r="AD58" s="470" t="s">
        <v>675</v>
      </c>
      <c r="AE58" s="458">
        <v>29.5</v>
      </c>
      <c r="AF58" s="221">
        <f t="shared" si="14"/>
        <v>27.461699999999997</v>
      </c>
    </row>
    <row r="59" spans="29:32" ht="13">
      <c r="AC59" s="463">
        <v>1175</v>
      </c>
      <c r="AD59" s="470" t="s">
        <v>675</v>
      </c>
      <c r="AE59" s="458">
        <v>28</v>
      </c>
      <c r="AF59" s="221">
        <f t="shared" si="14"/>
        <v>26.111699999999999</v>
      </c>
    </row>
    <row r="60" spans="29:32" ht="13">
      <c r="AC60" s="463">
        <v>1200</v>
      </c>
      <c r="AD60" s="470" t="s">
        <v>675</v>
      </c>
      <c r="AE60" s="458">
        <v>27</v>
      </c>
      <c r="AF60" s="221">
        <f t="shared" si="14"/>
        <v>25.211699999999997</v>
      </c>
    </row>
    <row r="61" spans="29:32" ht="13">
      <c r="AC61" s="463">
        <v>1225</v>
      </c>
      <c r="AD61" s="470" t="s">
        <v>675</v>
      </c>
      <c r="AE61" s="458">
        <v>26</v>
      </c>
      <c r="AF61" s="221">
        <f t="shared" si="14"/>
        <v>24.311699999999998</v>
      </c>
    </row>
    <row r="62" spans="29:32" ht="13">
      <c r="AC62" s="463">
        <v>1250</v>
      </c>
      <c r="AD62" s="470" t="s">
        <v>675</v>
      </c>
      <c r="AE62" s="458">
        <v>25</v>
      </c>
      <c r="AF62" s="221">
        <f t="shared" si="14"/>
        <v>23.411699999999996</v>
      </c>
    </row>
    <row r="63" spans="29:32" ht="13">
      <c r="AC63" s="463">
        <v>1275</v>
      </c>
      <c r="AD63" s="470" t="s">
        <v>675</v>
      </c>
      <c r="AE63" s="458">
        <v>24</v>
      </c>
      <c r="AF63" s="221">
        <f t="shared" si="14"/>
        <v>22.511699999999998</v>
      </c>
    </row>
    <row r="64" spans="29:32" ht="13">
      <c r="AC64" s="464">
        <v>1300</v>
      </c>
      <c r="AD64" s="471" t="s">
        <v>675</v>
      </c>
      <c r="AE64" s="460">
        <v>23</v>
      </c>
      <c r="AF64" s="461">
        <f t="shared" si="14"/>
        <v>21.611699999999999</v>
      </c>
    </row>
    <row r="66" spans="1:41" ht="14.5">
      <c r="A66" s="454">
        <v>1</v>
      </c>
      <c r="B66">
        <v>2</v>
      </c>
      <c r="C66">
        <v>3</v>
      </c>
      <c r="D66">
        <v>4</v>
      </c>
      <c r="E66" s="454">
        <v>5</v>
      </c>
      <c r="F66">
        <v>6</v>
      </c>
      <c r="G66">
        <v>7</v>
      </c>
      <c r="H66">
        <v>8</v>
      </c>
      <c r="I66" s="454">
        <v>9</v>
      </c>
      <c r="J66">
        <v>10</v>
      </c>
      <c r="K66">
        <v>11</v>
      </c>
      <c r="L66">
        <v>12</v>
      </c>
      <c r="M66" s="454">
        <v>13</v>
      </c>
      <c r="N66">
        <v>14</v>
      </c>
      <c r="O66">
        <v>15</v>
      </c>
      <c r="P66">
        <v>16</v>
      </c>
      <c r="Q66" s="454">
        <v>17</v>
      </c>
      <c r="R66">
        <v>18</v>
      </c>
      <c r="S66">
        <v>19</v>
      </c>
      <c r="T66">
        <v>20</v>
      </c>
      <c r="U66" s="454">
        <v>21</v>
      </c>
      <c r="V66">
        <v>22</v>
      </c>
      <c r="W66">
        <v>23</v>
      </c>
      <c r="X66">
        <v>24</v>
      </c>
      <c r="Y66" s="454">
        <v>25</v>
      </c>
      <c r="Z66">
        <v>26</v>
      </c>
      <c r="AA66">
        <v>27</v>
      </c>
      <c r="AB66">
        <v>28</v>
      </c>
      <c r="AC66" s="454">
        <v>29</v>
      </c>
      <c r="AD66">
        <v>30</v>
      </c>
      <c r="AE66">
        <v>31</v>
      </c>
      <c r="AF66">
        <v>32</v>
      </c>
      <c r="AG66" s="454">
        <v>33</v>
      </c>
      <c r="AH66">
        <v>34</v>
      </c>
      <c r="AI66">
        <v>35</v>
      </c>
      <c r="AJ66">
        <v>36</v>
      </c>
      <c r="AK66" s="454">
        <v>37</v>
      </c>
      <c r="AL66">
        <v>38</v>
      </c>
      <c r="AM66">
        <v>39</v>
      </c>
      <c r="AN66">
        <v>40</v>
      </c>
      <c r="AO66" s="454">
        <v>41</v>
      </c>
    </row>
  </sheetData>
  <mergeCells count="11">
    <mergeCell ref="AO2:AR2"/>
    <mergeCell ref="A2:D2"/>
    <mergeCell ref="E2:H2"/>
    <mergeCell ref="I2:L2"/>
    <mergeCell ref="M2:P2"/>
    <mergeCell ref="Q2:T2"/>
    <mergeCell ref="U2:X2"/>
    <mergeCell ref="Y2:AB2"/>
    <mergeCell ref="AC2:AF2"/>
    <mergeCell ref="AG2:AJ2"/>
    <mergeCell ref="AK2:AN2"/>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68</vt:i4>
      </vt:variant>
    </vt:vector>
  </HeadingPairs>
  <TitlesOfParts>
    <vt:vector size="79" baseType="lpstr">
      <vt:lpstr>Missing Info</vt:lpstr>
      <vt:lpstr>TestingRPAInput</vt:lpstr>
      <vt:lpstr>Input</vt:lpstr>
      <vt:lpstr>Output</vt:lpstr>
      <vt:lpstr>Light RCS</vt:lpstr>
      <vt:lpstr>Errors-&amp;-Warnings</vt:lpstr>
      <vt:lpstr>Budget_DataSheet</vt:lpstr>
      <vt:lpstr>Export-to-RCS</vt:lpstr>
      <vt:lpstr>Help</vt:lpstr>
      <vt:lpstr>CylDiam_li</vt:lpstr>
      <vt:lpstr>Calc</vt:lpstr>
      <vt:lpstr>BoreLim</vt:lpstr>
      <vt:lpstr>BoreLimit</vt:lpstr>
      <vt:lpstr>Compressor_Speed</vt:lpstr>
      <vt:lpstr>CompressorType</vt:lpstr>
      <vt:lpstr>CylDiam1_1</vt:lpstr>
      <vt:lpstr>CylDiam1_2</vt:lpstr>
      <vt:lpstr>CylDiam1_3</vt:lpstr>
      <vt:lpstr>CylDiam1_4</vt:lpstr>
      <vt:lpstr>CylDiam1_5</vt:lpstr>
      <vt:lpstr>CylDiam1_6</vt:lpstr>
      <vt:lpstr>CylDiam1_7</vt:lpstr>
      <vt:lpstr>CylDiam1_8</vt:lpstr>
      <vt:lpstr>CylDiam2_1</vt:lpstr>
      <vt:lpstr>CylDiam2_2</vt:lpstr>
      <vt:lpstr>CylDiam2_3</vt:lpstr>
      <vt:lpstr>CylDiam2_4</vt:lpstr>
      <vt:lpstr>CylDiam2_5</vt:lpstr>
      <vt:lpstr>CylDiam2_6</vt:lpstr>
      <vt:lpstr>CylDiam2_7</vt:lpstr>
      <vt:lpstr>CylDiam2_8</vt:lpstr>
      <vt:lpstr>CylDiam3_1</vt:lpstr>
      <vt:lpstr>CylDiam3_2</vt:lpstr>
      <vt:lpstr>CylDiam3_3</vt:lpstr>
      <vt:lpstr>CylDiam3_4</vt:lpstr>
      <vt:lpstr>CylDiam3_5</vt:lpstr>
      <vt:lpstr>CylDiam3_6</vt:lpstr>
      <vt:lpstr>CylDiam3_7</vt:lpstr>
      <vt:lpstr>CylDiam3_8</vt:lpstr>
      <vt:lpstr>Driver</vt:lpstr>
      <vt:lpstr>figC</vt:lpstr>
      <vt:lpstr>GAS</vt:lpstr>
      <vt:lpstr>'FIGURE-C'!incast</vt:lpstr>
      <vt:lpstr>incast</vt:lpstr>
      <vt:lpstr>Kv</vt:lpstr>
      <vt:lpstr>Lube1</vt:lpstr>
      <vt:lpstr>Lube2</vt:lpstr>
      <vt:lpstr>Lube3</vt:lpstr>
      <vt:lpstr>MotorType</vt:lpstr>
      <vt:lpstr>MW</vt:lpstr>
      <vt:lpstr>NNT</vt:lpstr>
      <vt:lpstr>No_Poles</vt:lpstr>
      <vt:lpstr>NumberOfPoles</vt:lpstr>
      <vt:lpstr>NumberOfServices</vt:lpstr>
      <vt:lpstr>OutCompressorType</vt:lpstr>
      <vt:lpstr>OutCylindersNumber</vt:lpstr>
      <vt:lpstr>OutNumberOfCranks</vt:lpstr>
      <vt:lpstr>OutNumberOfServices</vt:lpstr>
      <vt:lpstr>PistonSpeedLimit</vt:lpstr>
      <vt:lpstr>Budget_DataSheet!Print_Area</vt:lpstr>
      <vt:lpstr>Input!Print_Area</vt:lpstr>
      <vt:lpstr>'Light RCS'!Print_Area</vt:lpstr>
      <vt:lpstr>NOISE_AUTO!Print_Area</vt:lpstr>
      <vt:lpstr>NOISE_LI!Print_Area</vt:lpstr>
      <vt:lpstr>Output!Print_Area</vt:lpstr>
      <vt:lpstr>RPM</vt:lpstr>
      <vt:lpstr>RpmLimit</vt:lpstr>
      <vt:lpstr>'FIGURE-C'!serie</vt:lpstr>
      <vt:lpstr>serie</vt:lpstr>
      <vt:lpstr>serie_N</vt:lpstr>
      <vt:lpstr>serie_N_tab</vt:lpstr>
      <vt:lpstr>serie_NF</vt:lpstr>
      <vt:lpstr>serie_NF_tab</vt:lpstr>
      <vt:lpstr>serie_NU</vt:lpstr>
      <vt:lpstr>serie_NU_tab</vt:lpstr>
      <vt:lpstr>serie_T</vt:lpstr>
      <vt:lpstr>serie_T_tab</vt:lpstr>
      <vt:lpstr>Stroke</vt:lpstr>
      <vt:lpstr>SuctP</vt:lpstr>
    </vt:vector>
  </TitlesOfParts>
  <Manager>Ilaria D'Angelo</Manager>
  <Company>Nuovo Pignone SpA (GE Oil&amp;Gas)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RCpreSelector</dc:title>
  <dc:subject>Preselector of Reciprocating Compressors</dc:subject>
  <dc:creator>MG</dc:creator>
  <cp:lastModifiedBy>Korabathina, Aravind (Baker Hughes Contractor)</cp:lastModifiedBy>
  <cp:lastPrinted>2020-12-22T06:50:23Z</cp:lastPrinted>
  <dcterms:created xsi:type="dcterms:W3CDTF">2000-06-13T10:43:23Z</dcterms:created>
  <dcterms:modified xsi:type="dcterms:W3CDTF">2022-02-28T09:31:46Z</dcterms:modified>
</cp:coreProperties>
</file>